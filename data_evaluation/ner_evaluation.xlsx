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R_Evaluatio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E79"/>
      <sz val="16"/>
    </font>
    <font>
      <name val="Segoe UI"/>
      <b val="1"/>
      <color rgb="002C3E50"/>
      <sz val="12"/>
    </font>
    <font>
      <name val="Segoe UI"/>
      <b val="1"/>
      <color rgb="00FFFFFF"/>
      <sz val="11"/>
    </font>
    <font>
      <name val="Segoe UI"/>
      <sz val="10"/>
    </font>
    <font>
      <name val="Segoe UI"/>
      <b val="1"/>
      <sz val="10"/>
    </font>
    <font>
      <name val="Segoe UI"/>
      <b val="1"/>
      <color rgb="001F4E79"/>
      <sz val="11"/>
    </font>
    <font>
      <name val="Segoe UI"/>
      <i val="1"/>
      <sz val="9"/>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DDEBF7"/>
        <bgColor rgb="00DDEBF7"/>
      </patternFill>
    </fill>
  </fills>
  <borders count="3">
    <border>
      <left/>
      <right/>
      <top/>
      <bottom/>
      <diagonal/>
    </border>
    <border>
      <left style="thin">
        <color rgb="00BDC3C7"/>
      </left>
      <right style="thin">
        <color rgb="00BDC3C7"/>
      </right>
      <top style="thin">
        <color rgb="00BDC3C7"/>
      </top>
      <bottom style="thin">
        <color rgb="00BDC3C7"/>
      </bottom>
    </border>
    <border>
      <top style="medium">
        <color rgb="002C3E50"/>
      </top>
      <bottom style="double">
        <color rgb="002C3E5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5" fillId="0" borderId="1" applyAlignment="1" pivotButton="0" quotePrefix="0" xfId="0">
      <alignment horizontal="right" vertical="center" wrapText="1"/>
    </xf>
    <xf numFmtId="0" fontId="5" fillId="3" borderId="2" applyAlignment="1" pivotButton="0" quotePrefix="0" xfId="0">
      <alignment horizontal="center" vertical="center" wrapText="1"/>
    </xf>
    <xf numFmtId="0" fontId="0" fillId="3" borderId="2" pivotButton="0" quotePrefix="0" xfId="0"/>
    <xf numFmtId="0" fontId="5" fillId="0" borderId="0" applyAlignment="1" pivotButton="0" quotePrefix="0" xfId="0">
      <alignment horizontal="left" vertical="center" wrapText="1"/>
    </xf>
    <xf numFmtId="164" fontId="6" fillId="4" borderId="1" applyAlignment="1" pivotButton="0" quotePrefix="0" xfId="0">
      <alignment horizontal="right" vertical="center" wrapText="1"/>
    </xf>
    <xf numFmtId="0" fontId="7"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showGridLines="1" workbookViewId="0">
      <selection activeCell="A1" sqref="A1"/>
    </sheetView>
  </sheetViews>
  <sheetFormatPr baseColWidth="8" defaultRowHeight="15"/>
  <cols>
    <col width="90" customWidth="1" min="1" max="1"/>
    <col width="26" customWidth="1" min="2" max="2"/>
    <col width="96" customWidth="1" min="3" max="3"/>
    <col width="23" customWidth="1" min="4" max="4"/>
    <col width="78" customWidth="1" min="5" max="5"/>
    <col width="104" customWidth="1" min="6" max="6"/>
    <col width="18" customWidth="1" min="7" max="7"/>
    <col width="16" customWidth="1" min="8" max="8"/>
    <col width="16" customWidth="1" min="9" max="9"/>
    <col width="38" customWidth="1" min="10" max="10"/>
    <col width="38" customWidth="1" min="11" max="11"/>
    <col width="46" customWidth="1" min="12" max="12"/>
  </cols>
  <sheetData>
    <row r="1">
      <c r="A1" s="1" t="inlineStr">
        <is>
          <t>BẢNG ĐỐI SOÁT &amp; ĐÁNH GIÁ ĐỘ CHÍNH XÁC TRÍCH XUẤT KỸ NĂNG (NER)</t>
        </is>
      </c>
    </row>
    <row r="2"/>
    <row r="3">
      <c r="A3" s="2" t="inlineStr">
        <is>
          <t>Bảng đối soát cấp tài liệu: Chọn ngẫu nhiên và kiểm thử 20 JDs &amp; 19 CVs (Mẫu đại diện)</t>
        </is>
      </c>
    </row>
    <row r="4" ht="30" customHeight="1">
      <c r="A4" s="3" t="inlineStr">
        <is>
          <t>Mã Tài Liệu</t>
        </is>
      </c>
      <c r="B4" s="3" t="inlineStr">
        <is>
          <t>Loại</t>
        </is>
      </c>
      <c r="C4" s="3" t="inlineStr">
        <is>
          <t>Tên Tài Liệu / Vị Trí</t>
        </is>
      </c>
      <c r="D4" s="3" t="inlineStr">
        <is>
          <t>Địa Điểm</t>
        </is>
      </c>
      <c r="E4" s="3" t="inlineStr">
        <is>
          <t>Kỹ Năng Trích Xuất (Hệ thống)</t>
        </is>
      </c>
      <c r="F4" s="3" t="inlineStr">
        <is>
          <t>Nhãn Chuẩn (Ground Truth - Người dùng tự sửa)</t>
        </is>
      </c>
      <c r="G4" s="3" t="inlineStr">
        <is>
          <t>TP (Khớp đúng)</t>
        </is>
      </c>
      <c r="H4" s="3" t="inlineStr">
        <is>
          <t>FP (Ảo giác)</t>
        </is>
      </c>
      <c r="I4" s="3" t="inlineStr">
        <is>
          <t>FN (Bỏ sót)</t>
        </is>
      </c>
      <c r="J4" s="3" t="inlineStr">
        <is>
          <t>Precision</t>
        </is>
      </c>
      <c r="K4" s="3" t="inlineStr">
        <is>
          <t>Recall</t>
        </is>
      </c>
      <c r="L4" s="3" t="inlineStr">
        <is>
          <t>F1-Score</t>
        </is>
      </c>
    </row>
    <row r="5" ht="24" customHeight="1">
      <c r="A5" s="4" t="inlineStr">
        <is>
          <t>JD_01</t>
        </is>
      </c>
      <c r="B5" s="4" t="inlineStr">
        <is>
          <t>JD</t>
        </is>
      </c>
      <c r="C5" s="5" t="inlineStr">
        <is>
          <t>ReactJS Engineer (+Java) (DXC Technology)</t>
        </is>
      </c>
      <c r="D5" s="4" t="inlineStr">
        <is>
          <t>Hồ Chí Minh</t>
        </is>
      </c>
      <c r="E5" s="5" t="inlineStr">
        <is>
          <t>Communication, RESTful API, Cloud Infrastructure, Application Security, Java 8, JQuery, React.js (Javascript Library), Vue.js (Javascript Library), GraphQL, TypeScript, Microservices, Spring Boot, Chai (Software), JSON, Mocha (JavaScript Framework), Selenium (Software), CypressIO, Playwright (Software Testing), Web Accessibility, HTML5, Bootstrap (Front-End Framework), Cascading Style Sheets (CSS)</t>
        </is>
      </c>
      <c r="F5" s="5" t="inlineStr">
        <is>
          <t>React.js, JavaScript, TypeScript, Angular.js, Vue.js, HTML5, CSS3, Bootstrap, Foundation, jQuery, JSON, Amazon Web Services, RESTful API, GraphQL, Microservices, Testing, Agile, Java, Spring Boot, Selenium, Mocha, Jest, Playwright, Cypress, English</t>
        </is>
      </c>
      <c r="G5" s="4" t="n">
        <v>8</v>
      </c>
      <c r="H5" s="4" t="n">
        <v>14</v>
      </c>
      <c r="I5" s="4" t="n">
        <v>17</v>
      </c>
      <c r="J5" s="6">
        <f>IF((G5+H5)&gt;0, G5/(G5+H5), 0)</f>
        <v/>
      </c>
      <c r="K5" s="6">
        <f>IF((G5+I5)&gt;0, G5/(G5+I5), 0)</f>
        <v/>
      </c>
      <c r="L5" s="6">
        <f>IF((J5+K5)&gt;0, 2*(J5*K5)/(J5+K5), 0)</f>
        <v/>
      </c>
    </row>
    <row r="6" ht="24" customHeight="1">
      <c r="A6" s="4" t="inlineStr">
        <is>
          <t>JD_02</t>
        </is>
      </c>
      <c r="B6" s="4" t="inlineStr">
        <is>
          <t>JD</t>
        </is>
      </c>
      <c r="C6" s="5" t="inlineStr">
        <is>
          <t>Senior Fullstack Engineer (React, Java, Graphql) (CÔNG TY TNHH CÔNG NGHỆ CODERPUSH)</t>
        </is>
      </c>
      <c r="D6" s="4" t="inlineStr">
        <is>
          <t>Hồ Chí Minh, Hà Nội</t>
        </is>
      </c>
      <c r="E6" s="5" t="inlineStr">
        <is>
          <t>Communication, Problem Solving, Time Management, Agile Software Development, OpenAPI Specification, RESTful API, Amazon S3, IT Security Architecture, Amazon Redshift, PostgreSQL, NoSQL, Redis, Apache Kafka, Java (Programming Language), Java, React Redux, SQL (Programming Language), GraphQL, TypeScript, Elasticsearch, Application Development, Microservices, CI/CD, Test Automation, Git (Version Control System), Web Development</t>
        </is>
      </c>
      <c r="F6" s="5" t="inlineStr">
        <is>
          <t>Communication, Problem Solving, Time Management, Agile Software Development, OpenAPI Specification, RESTful API, Amazon S3, IT Security Architecture, Amazon Redshift, PostgreSQL, NoSQL, Redis, Apache Kafka, Java (Programming Language), Java, React Redux, SQL (Programming Language), GraphQL, TypeScript, Elasticsearch, Application Development, Microservices, CI/CD, Test Automation, Git (Version Control System), Web Development</t>
        </is>
      </c>
      <c r="G6" s="4" t="n">
        <v>26</v>
      </c>
      <c r="H6" s="4" t="n">
        <v>0</v>
      </c>
      <c r="I6" s="4" t="n">
        <v>0</v>
      </c>
      <c r="J6" s="6">
        <f>IF((G6+H6)&gt;0, G6/(G6+H6), 0)</f>
        <v/>
      </c>
      <c r="K6" s="6">
        <f>IF((G6+I6)&gt;0, G6/(G6+I6), 0)</f>
        <v/>
      </c>
      <c r="L6" s="6">
        <f>IF((J6+K6)&gt;0, 2*(J6*K6)/(J6+K6), 0)</f>
        <v/>
      </c>
    </row>
    <row r="7" ht="24" customHeight="1">
      <c r="A7" s="4" t="inlineStr">
        <is>
          <t>JD_03</t>
        </is>
      </c>
      <c r="B7" s="4" t="inlineStr">
        <is>
          <t>JD</t>
        </is>
      </c>
      <c r="C7" s="5" t="inlineStr">
        <is>
          <t>Lead Front-end Developer (JavaScript, ReactJS/Angular) (Bosch Global Software Technologies Company Limited)</t>
        </is>
      </c>
      <c r="D7" s="4" t="inlineStr">
        <is>
          <t>Hồ Chí Minh</t>
        </is>
      </c>
      <c r="E7" s="5" t="inlineStr">
        <is>
          <t>Project Design, Distributed Team Management, Management, Operations, Software As A Service (SaaS), Datadog, Data Localization, Jenkins, Technology Roadmaps, MobX, Vue.js (Javascript Library), React Redux, Redux-Saga, JavaScript (Programming Language), CI/CD, Observability, Systems Design, Test Automation, CypressIO, Playwright (Software Testing), Git (Version Control System), Gitlab, Web Accessibility, Angular (Web Framework), HTML5, Cascading Style Sheets (CSS), StorybookJS</t>
        </is>
      </c>
      <c r="F7" s="5" t="inlineStr">
        <is>
          <t>Project Design, Distributed Team Management, Management, Operations, Software As A Service (SaaS), Datadog, Data Localization, Jenkins, Technology Roadmaps, MobX, Vue.js (Javascript Library), React Redux, Redux-Saga, JavaScript (Programming Language), CI/CD, Observability, Systems Design, Test Automation, CypressIO, Playwright (Software Testing), Git (Version Control System), Gitlab, Web Accessibility, Angular (Web Framework), HTML5, Cascading Style Sheets (CSS), StorybookJS</t>
        </is>
      </c>
      <c r="G7" s="4" t="n">
        <v>27</v>
      </c>
      <c r="H7" s="4" t="n">
        <v>0</v>
      </c>
      <c r="I7" s="4" t="n">
        <v>0</v>
      </c>
      <c r="J7" s="6">
        <f>IF((G7+H7)&gt;0, G7/(G7+H7), 0)</f>
        <v/>
      </c>
      <c r="K7" s="6">
        <f>IF((G7+I7)&gt;0, G7/(G7+I7), 0)</f>
        <v/>
      </c>
      <c r="L7" s="6">
        <f>IF((J7+K7)&gt;0, 2*(J7*K7)/(J7+K7), 0)</f>
        <v/>
      </c>
    </row>
    <row r="8" ht="24" customHeight="1">
      <c r="A8" s="4" t="inlineStr">
        <is>
          <t>JD_04</t>
        </is>
      </c>
      <c r="B8" s="4" t="inlineStr">
        <is>
          <t>JD</t>
        </is>
      </c>
      <c r="C8" s="5" t="inlineStr">
        <is>
          <t>Frontend Techlead – Digital Bank Division (Saigon - Hanoi Commercial Joint Stock Bank (SHB))</t>
        </is>
      </c>
      <c r="D8" s="4" t="inlineStr">
        <is>
          <t>Hà Nội</t>
        </is>
      </c>
      <c r="E8" s="5" t="inlineStr">
        <is>
          <t>Client Confidentiality, Management, Communication, Leadership, Problem Solving, Mentorship, Coaching, Systems Thinking, Troubleshooting (Problem Solving), Loading And Unloading, Verbal Communication Skills, Written English, Teamwork, Agile Software Development, RESTful API, Network Routing, Authentications, Authorization (Computing), Release Management, Vuex, React Redux, Redux-Saga, CI/CD, NgRx (Framework), Unit Testing, Code Review, Integration Testing, Systems Design, Version Control, Angular (Web Framework), Web Development, Responsive Web Design, Web Performance Optimization</t>
        </is>
      </c>
      <c r="F8" s="5" t="inlineStr">
        <is>
          <t>Client Confidentiality, Management, Communication, Leadership, Problem Solving, Mentorship, Coaching, Systems Thinking, Troubleshooting (Problem Solving), Loading And Unloading, Verbal Communication Skills, Written English, Teamwork, Agile Software Development, RESTful API, Network Routing, Authentications, Authorization (Computing), Release Management, Vuex, React Redux, Redux-Saga, CI/CD, NgRx (Framework), Unit Testing, Code Review, Integration Testing, Systems Design, Version Control, Angular (Web Framework), Web Development, Responsive Web Design, Web Performance Optimization</t>
        </is>
      </c>
      <c r="G8" s="4" t="n">
        <v>33</v>
      </c>
      <c r="H8" s="4" t="n">
        <v>0</v>
      </c>
      <c r="I8" s="4" t="n">
        <v>0</v>
      </c>
      <c r="J8" s="6">
        <f>IF((G8+H8)&gt;0, G8/(G8+H8), 0)</f>
        <v/>
      </c>
      <c r="K8" s="6">
        <f>IF((G8+I8)&gt;0, G8/(G8+I8), 0)</f>
        <v/>
      </c>
      <c r="L8" s="6">
        <f>IF((J8+K8)&gt;0, 2*(J8*K8)/(J8+K8), 0)</f>
        <v/>
      </c>
    </row>
    <row r="9" ht="24" customHeight="1">
      <c r="A9" s="4" t="inlineStr">
        <is>
          <t>JD_05</t>
        </is>
      </c>
      <c r="B9" s="4" t="inlineStr">
        <is>
          <t>JD</t>
        </is>
      </c>
      <c r="C9" s="5" t="inlineStr">
        <is>
          <t>Frontend Techlead (Ngân Hàng TMCP Sài Gòn - Hà Nội ( SHB ))</t>
        </is>
      </c>
      <c r="D9" s="4" t="inlineStr">
        <is>
          <t>Hà Nội</t>
        </is>
      </c>
      <c r="E9" s="5" t="inlineStr">
        <is>
          <t>Client Confidentiality, Basic Reading, Research, Management, Communication, Training And Development, Leadership, Information Processing, Problem Solving, Mentorship, Presentations, Systems Thinking, Troubleshooting (Problem Solving), Loading And Unloading, Verbal Communication Skills, Written English, Collaboration, Teamwork, Agile Software Development, RESTful API, Network Routing, Authentications, Authorization (Computing), Release Management, Vuex, React Redux, Redux-Saga, Mobile Development, Software Documentation, DevOps, CI/CD, NgRx (Framework), Unit Testing, Code Review, Integration Testing, Systems Design, Version Control, Angular (Web Framework), Web Development, Responsive Web Design, Web Performance Optimization</t>
        </is>
      </c>
      <c r="F9" s="5" t="inlineStr">
        <is>
          <t>Client Confidentiality, Basic Reading, Research, Management, Communication, Training And Development, Leadership, Information Processing, Problem Solving, Mentorship, Presentations, Systems Thinking, Troubleshooting (Problem Solving), Loading And Unloading, Verbal Communication Skills, Written English, Collaboration, Teamwork, Agile Software Development, RESTful API, Network Routing, Authentications, Authorization (Computing), Release Management, Vuex, React Redux, Redux-Saga, Mobile Development, Software Documentation, DevOps, CI/CD, NgRx (Framework), Unit Testing, Code Review, Integration Testing, Systems Design, Version Control, Angular (Web Framework), Web Development, Responsive Web Design, Web Performance Optimization</t>
        </is>
      </c>
      <c r="G9" s="4" t="n">
        <v>41</v>
      </c>
      <c r="H9" s="4" t="n">
        <v>0</v>
      </c>
      <c r="I9" s="4" t="n">
        <v>0</v>
      </c>
      <c r="J9" s="6">
        <f>IF((G9+H9)&gt;0, G9/(G9+H9), 0)</f>
        <v/>
      </c>
      <c r="K9" s="6">
        <f>IF((G9+I9)&gt;0, G9/(G9+I9), 0)</f>
        <v/>
      </c>
      <c r="L9" s="6">
        <f>IF((J9+K9)&gt;0, 2*(J9*K9)/(J9+K9), 0)</f>
        <v/>
      </c>
    </row>
    <row r="10" ht="24" customHeight="1">
      <c r="A10" s="4" t="inlineStr">
        <is>
          <t>JD_06</t>
        </is>
      </c>
      <c r="B10" s="4" t="inlineStr">
        <is>
          <t>JD</t>
        </is>
      </c>
      <c r="C10" s="5" t="inlineStr">
        <is>
          <t>Frontend Techlead – Khối Ngân hàng Số (Ngân Hàng TMCP Sài Gòn - Hà Nội ( SHB ))</t>
        </is>
      </c>
      <c r="D10" s="4" t="inlineStr">
        <is>
          <t>Hà Nội</t>
        </is>
      </c>
      <c r="E10" s="5" t="inlineStr">
        <is>
          <t>Client Confidentiality, Management, Training And Development, Leadership, Problem Solving, Mentorship, Systems Thinking, Troubleshooting (Problem Solving), Loading And Unloading, Verbal Communication Skills, Written English, Collaboration, Teamwork, Agile Software Development, RESTful API, Network Routing, Authentications, Authorization (Computing), Release Management, Vuex, React Redux, Redux-Saga, Mobile Development, DevOps, CI/CD, NgRx (Framework), Unit Testing, Code Review, Integration Testing, Systems Design, Version Control, Angular (Web Framework), Web Development, Responsive Web Design, Web Performance Optimization, Web Frameworks</t>
        </is>
      </c>
      <c r="F10" s="5" t="inlineStr">
        <is>
          <t>Client Confidentiality, Management, Training And Development, Leadership, Problem Solving, Mentorship, Systems Thinking, Troubleshooting (Problem Solving), Loading And Unloading, Verbal Communication Skills, Written English, Collaboration, Teamwork, Agile Software Development, RESTful API, Network Routing, Authentications, Authorization (Computing), Release Management, Vuex, React Redux, Redux-Saga, Mobile Development, DevOps, CI/CD, NgRx (Framework), Unit Testing, Code Review, Integration Testing, Systems Design, Version Control, Angular (Web Framework), Web Development, Responsive Web Design, Web Performance Optimization, Web Frameworks</t>
        </is>
      </c>
      <c r="G10" s="4" t="n">
        <v>36</v>
      </c>
      <c r="H10" s="4" t="n">
        <v>0</v>
      </c>
      <c r="I10" s="4" t="n">
        <v>0</v>
      </c>
      <c r="J10" s="6">
        <f>IF((G10+H10)&gt;0, G10/(G10+H10), 0)</f>
        <v/>
      </c>
      <c r="K10" s="6">
        <f>IF((G10+I10)&gt;0, G10/(G10+I10), 0)</f>
        <v/>
      </c>
      <c r="L10" s="6">
        <f>IF((J10+K10)&gt;0, 2*(J10*K10)/(J10+K10), 0)</f>
        <v/>
      </c>
    </row>
    <row r="11" ht="24" customHeight="1">
      <c r="A11" s="4" t="inlineStr">
        <is>
          <t>JD_07</t>
        </is>
      </c>
      <c r="B11" s="4" t="inlineStr">
        <is>
          <t>JD</t>
        </is>
      </c>
      <c r="C11" s="5" t="inlineStr">
        <is>
          <t>Application Support Level 2 (.Net, Angular) (Mercatus)</t>
        </is>
      </c>
      <c r="D11" s="4" t="inlineStr">
        <is>
          <t>Hồ Chí Minh</t>
        </is>
      </c>
      <c r="E11" s="5" t="inlineStr">
        <is>
          <t>Analytical Skills, Problem Solving, Troubleshooting (Problem Solving), Verbal Communication Skills, IT Service Management, Node.js (Javascript Library), ASP.NET Core, Ionic Framework, Software Documentation, Software Development Life Cycle, Angular (Web Framework)</t>
        </is>
      </c>
      <c r="F11" s="5" t="inlineStr">
        <is>
          <t>Problem Solving, Troubleshooting (Problem Solving), Verbal Communication Skills, IT Service Management, Node.js (Javascript Library), ASP.NET Core, Ionic Framework, Software Documentation, Software Development Life Cycle, Angular (Web Framework)</t>
        </is>
      </c>
      <c r="G11" s="4" t="n">
        <v>10</v>
      </c>
      <c r="H11" s="4" t="n">
        <v>1</v>
      </c>
      <c r="I11" s="4" t="n">
        <v>0</v>
      </c>
      <c r="J11" s="6">
        <f>IF((G11+H11)&gt;0, G11/(G11+H11), 0)</f>
        <v/>
      </c>
      <c r="K11" s="6">
        <f>IF((G11+I11)&gt;0, G11/(G11+I11), 0)</f>
        <v/>
      </c>
      <c r="L11" s="6">
        <f>IF((J11+K11)&gt;0, 2*(J11*K11)/(J11+K11), 0)</f>
        <v/>
      </c>
    </row>
    <row r="12" ht="24" customHeight="1">
      <c r="A12" s="4" t="inlineStr">
        <is>
          <t>JD_08</t>
        </is>
      </c>
      <c r="B12" s="4" t="inlineStr">
        <is>
          <t>JD</t>
        </is>
      </c>
      <c r="C12" s="5" t="inlineStr">
        <is>
          <t>Front-End Developer (ReactJS) (Sapo Technology JSC)</t>
        </is>
      </c>
      <c r="D12" s="4" t="inlineStr">
        <is>
          <t>Hà Nội</t>
        </is>
      </c>
      <c r="E12" s="5" t="inlineStr">
        <is>
          <t>Problem Solving, Logical Reasoning, Relational Databases, MariaDB, MongoDB, MySQL, NoSQL, Redis, Apache Kafka, React.js (Javascript Library), RabbitMQ, Software Design Patterns, Object-Oriented Programming (OOP), Domain Driven Design, Microservices, Git (Version Control System)</t>
        </is>
      </c>
      <c r="F12" s="5" t="inlineStr">
        <is>
          <t>Problem Solving, Logical Reasoning, Relational Databases, MariaDB, MongoDB, MySQL, NoSQL, Redis, Apache Kafka, React.js (Javascript Library), RabbitMQ, Software Design Patterns, Object-Oriented Programming (OOP), Domain Driven Design, Microservices, Git (Version Control System)</t>
        </is>
      </c>
      <c r="G12" s="4" t="n">
        <v>16</v>
      </c>
      <c r="H12" s="4" t="n">
        <v>0</v>
      </c>
      <c r="I12" s="4" t="n">
        <v>0</v>
      </c>
      <c r="J12" s="6">
        <f>IF((G12+H12)&gt;0, G12/(G12+H12), 0)</f>
        <v/>
      </c>
      <c r="K12" s="6">
        <f>IF((G12+I12)&gt;0, G12/(G12+I12), 0)</f>
        <v/>
      </c>
      <c r="L12" s="6">
        <f>IF((J12+K12)&gt;0, 2*(J12*K12)/(J12+K12), 0)</f>
        <v/>
      </c>
    </row>
    <row r="13" ht="24" customHeight="1">
      <c r="A13" s="4" t="inlineStr">
        <is>
          <t>JD_09</t>
        </is>
      </c>
      <c r="B13" s="4" t="inlineStr">
        <is>
          <t>JD</t>
        </is>
      </c>
      <c r="C13" s="5" t="inlineStr">
        <is>
          <t>Junior Python/Javascript Developer (Cennext Inc.)</t>
        </is>
      </c>
      <c r="D13" s="4" t="inlineStr">
        <is>
          <t>Hà Nội, Hồ Chí Minh</t>
        </is>
      </c>
      <c r="E13" s="5" t="inlineStr">
        <is>
          <t>Microsoft Windows, Integrative Thinking, Automation, Web Scraping, Beautifulsoup, NoSQL, Linux, SQL (Programming Language), Python (Programming Language), Docker (Software), Selenium (Software), Playwright (Software Testing), Git (Version Control System), Github</t>
        </is>
      </c>
      <c r="F13" s="5" t="inlineStr">
        <is>
          <t>Microsoft Windows, Integrative Thinking, Automation, Web Scraping, Beautifulsoup, NoSQL, Linux, SQL (Programming Language), Python (Programming Language), Docker (Software), Selenium (Software), Playwright (Software Testing), Git (Version Control System), Github</t>
        </is>
      </c>
      <c r="G13" s="4" t="n">
        <v>14</v>
      </c>
      <c r="H13" s="4" t="n">
        <v>0</v>
      </c>
      <c r="I13" s="4" t="n">
        <v>0</v>
      </c>
      <c r="J13" s="6">
        <f>IF((G13+H13)&gt;0, G13/(G13+H13), 0)</f>
        <v/>
      </c>
      <c r="K13" s="6">
        <f>IF((G13+I13)&gt;0, G13/(G13+I13), 0)</f>
        <v/>
      </c>
      <c r="L13" s="6">
        <f>IF((J13+K13)&gt;0, 2*(J13*K13)/(J13+K13), 0)</f>
        <v/>
      </c>
    </row>
    <row r="14" ht="24" customHeight="1">
      <c r="A14" s="4" t="inlineStr">
        <is>
          <t>JD_10</t>
        </is>
      </c>
      <c r="B14" s="4" t="inlineStr">
        <is>
          <t>JD</t>
        </is>
      </c>
      <c r="C14" s="5" t="inlineStr">
        <is>
          <t>Senior/Lead Frontend Developer (Next.js) (LARION)</t>
        </is>
      </c>
      <c r="D14" s="4" t="inlineStr">
        <is>
          <t>Hồ Chí Minh</t>
        </is>
      </c>
      <c r="E14" s="5" t="inlineStr">
        <is>
          <t>Data Reporting, Communication, Problem Solving, Collaboration, Next.js (Javascript Library), JavaScript (Programming Language), TypeScript, HTML5, Cascading Style Sheets (CSS)</t>
        </is>
      </c>
      <c r="F14" s="5" t="inlineStr">
        <is>
          <t>Data Reporting, Communication, Problem Solving, Collaboration, Next.js (Javascript Library), JavaScript (Programming Language), TypeScript, HTML5, Cascading Style Sheets (CSS)</t>
        </is>
      </c>
      <c r="G14" s="4" t="n">
        <v>9</v>
      </c>
      <c r="H14" s="4" t="n">
        <v>0</v>
      </c>
      <c r="I14" s="4" t="n">
        <v>0</v>
      </c>
      <c r="J14" s="6">
        <f>IF((G14+H14)&gt;0, G14/(G14+H14), 0)</f>
        <v/>
      </c>
      <c r="K14" s="6">
        <f>IF((G14+I14)&gt;0, G14/(G14+I14), 0)</f>
        <v/>
      </c>
      <c r="L14" s="6">
        <f>IF((J14+K14)&gt;0, 2*(J14*K14)/(J14+K14), 0)</f>
        <v/>
      </c>
    </row>
    <row r="15" ht="24" customHeight="1">
      <c r="A15" s="4" t="inlineStr">
        <is>
          <t>JD_11</t>
        </is>
      </c>
      <c r="B15" s="4" t="inlineStr">
        <is>
          <t>JD</t>
        </is>
      </c>
      <c r="C15" s="5" t="inlineStr">
        <is>
          <t>Frontend Engineer (CÔNG TY CỔ PHẦN MAC MARKETING)</t>
        </is>
      </c>
      <c r="D15" s="4" t="inlineStr">
        <is>
          <t>Hồ Chí Minh</t>
        </is>
      </c>
      <c r="E15" s="5" t="inlineStr">
        <is>
          <t>Project Design, Systems Thinking, Software Asset Management, Front End (Software Engineering), Code Refactoring, Systems Design, System Administration, HTML5, Cascading Style Sheets (CSS), Web Applications, Web Frameworks</t>
        </is>
      </c>
      <c r="F15" s="5" t="inlineStr">
        <is>
          <t>Project Design, Systems Thinking, Software Asset Management, Front End (Software Engineering), Code Refactoring, Systems Design, System Administration, HTML5, Cascading Style Sheets (CSS), Web Applications, Web Frameworks, Adaptability</t>
        </is>
      </c>
      <c r="G15" s="4" t="n">
        <v>11</v>
      </c>
      <c r="H15" s="4" t="n">
        <v>0</v>
      </c>
      <c r="I15" s="4" t="n">
        <v>1</v>
      </c>
      <c r="J15" s="6">
        <f>IF((G15+H15)&gt;0, G15/(G15+H15), 0)</f>
        <v/>
      </c>
      <c r="K15" s="6">
        <f>IF((G15+I15)&gt;0, G15/(G15+I15), 0)</f>
        <v/>
      </c>
      <c r="L15" s="6">
        <f>IF((J15+K15)&gt;0, 2*(J15*K15)/(J15+K15), 0)</f>
        <v/>
      </c>
    </row>
    <row r="16" ht="24" customHeight="1">
      <c r="A16" s="4" t="inlineStr">
        <is>
          <t>JD_12</t>
        </is>
      </c>
      <c r="B16" s="4" t="inlineStr">
        <is>
          <t>JD</t>
        </is>
      </c>
      <c r="C16" s="5" t="inlineStr">
        <is>
          <t>Frontend Engineer (CÔNG TY CỔ PHẦN MAC MARKETING)</t>
        </is>
      </c>
      <c r="D16" s="4" t="inlineStr">
        <is>
          <t>Hồ Chí Minh</t>
        </is>
      </c>
      <c r="E16" s="5" t="inlineStr">
        <is>
          <t>Project Design, Problem Solving, Systems Thinking, Detail Oriented, Software Asset Management, Front End (Software Engineering), Code Refactoring, Code Review, Systems Design, System Administration, HTML5, Cascading Style Sheets (CSS), Web Development, Web Frameworks</t>
        </is>
      </c>
      <c r="F16" s="5" t="inlineStr">
        <is>
          <t>Project Design, Problem Solving, Systems Thinking, Detail Oriented, Software Asset Management, Front End (Software Engineering), Code Refactoring, Code Review, Systems Design, System Administration, HTML5, Cascading Style Sheets (CSS), Web Development, Web Frameworks</t>
        </is>
      </c>
      <c r="G16" s="4" t="n">
        <v>14</v>
      </c>
      <c r="H16" s="4" t="n">
        <v>0</v>
      </c>
      <c r="I16" s="4" t="n">
        <v>0</v>
      </c>
      <c r="J16" s="6">
        <f>IF((G16+H16)&gt;0, G16/(G16+H16), 0)</f>
        <v/>
      </c>
      <c r="K16" s="6">
        <f>IF((G16+I16)&gt;0, G16/(G16+I16), 0)</f>
        <v/>
      </c>
      <c r="L16" s="6">
        <f>IF((J16+K16)&gt;0, 2*(J16*K16)/(J16+K16), 0)</f>
        <v/>
      </c>
    </row>
    <row r="17" ht="24" customHeight="1">
      <c r="A17" s="4" t="inlineStr">
        <is>
          <t>JD_13</t>
        </is>
      </c>
      <c r="B17" s="4" t="inlineStr">
        <is>
          <t>JD</t>
        </is>
      </c>
      <c r="C17" s="5" t="inlineStr">
        <is>
          <t>Frontend Engineer (CÔNG TY CỔ PHẦN MAC MARKETING)</t>
        </is>
      </c>
      <c r="D17" s="4" t="inlineStr">
        <is>
          <t>Hồ Chí Minh</t>
        </is>
      </c>
      <c r="E17" s="5" t="inlineStr">
        <is>
          <t>Project Design, Systems Thinking, Detail Oriented, Software Asset Management, Front End (Software Engineering), Code Refactoring, Code Review, Systems Design, System Administration, HTML5, Cascading Style Sheets (CSS), Web Applications, Web Frameworks</t>
        </is>
      </c>
      <c r="F17" s="5" t="inlineStr">
        <is>
          <t>Project Design, Systems Thinking, Detail Oriented, Software Asset Management, Front End (Software Engineering), Code Refactoring, Code Review, Systems Design, System Administration, HTML5, Cascading Style Sheets (CSS), Web Applications, Web Frameworks</t>
        </is>
      </c>
      <c r="G17" s="4" t="n">
        <v>13</v>
      </c>
      <c r="H17" s="4" t="n">
        <v>0</v>
      </c>
      <c r="I17" s="4" t="n">
        <v>0</v>
      </c>
      <c r="J17" s="6">
        <f>IF((G17+H17)&gt;0, G17/(G17+H17), 0)</f>
        <v/>
      </c>
      <c r="K17" s="6">
        <f>IF((G17+I17)&gt;0, G17/(G17+I17), 0)</f>
        <v/>
      </c>
      <c r="L17" s="6">
        <f>IF((J17+K17)&gt;0, 2*(J17*K17)/(J17+K17), 0)</f>
        <v/>
      </c>
    </row>
    <row r="18" ht="24" customHeight="1">
      <c r="A18" s="4" t="inlineStr">
        <is>
          <t>JD_14</t>
        </is>
      </c>
      <c r="B18" s="4" t="inlineStr">
        <is>
          <t>JD</t>
        </is>
      </c>
      <c r="C18" s="5" t="inlineStr">
        <is>
          <t>Frontend Techlead (Ngân Hàng TMCP Sài Gòn - Hà Nội ( SHB ))</t>
        </is>
      </c>
      <c r="D18" s="4" t="inlineStr">
        <is>
          <t>Hà Nội</t>
        </is>
      </c>
      <c r="E18" s="5" t="inlineStr">
        <is>
          <t>Client Confidentiality, Basic Reading, Management, Leadership, Information Processing, Problem Solving, Mentorship, Presentations, Quality Assurance, Systems Thinking, Troubleshooting (Problem Solving), Loading And Unloading, Verbal Communication Skills, Written English, Collaboration, Teamwork, Authorization (Computing), Release Management, Vue.js (Javascript Library), CI/CD, NgRx (Framework), Unit Testing, Code Review, Integration Testing, Angular (Web Framework), Web Performance Optimization, Web Frameworks</t>
        </is>
      </c>
      <c r="F18" s="5" t="inlineStr">
        <is>
          <t>Basic Reading, Management, Leadership, Information Processing, Problem Solving, Mentorship, Presentations, Quality Assurance, Systems Thinking, Troubleshooting (Problem Solving), Loading And Unloading, Verbal Communication Skills, Written English, Collaboration, Teamwork, Authorization (Computing), Release Management, Vue.js (Javascript Library), CI/CD, NgRx (Framework), Unit Testing, Code Review, Integration Testing, Angular (Web Framework), Web Performance Optimization, Web Frameworks</t>
        </is>
      </c>
      <c r="G18" s="4" t="n">
        <v>26</v>
      </c>
      <c r="H18" s="4" t="n">
        <v>1</v>
      </c>
      <c r="I18" s="4" t="n">
        <v>0</v>
      </c>
      <c r="J18" s="6">
        <f>IF((G18+H18)&gt;0, G18/(G18+H18), 0)</f>
        <v/>
      </c>
      <c r="K18" s="6">
        <f>IF((G18+I18)&gt;0, G18/(G18+I18), 0)</f>
        <v/>
      </c>
      <c r="L18" s="6">
        <f>IF((J18+K18)&gt;0, 2*(J18*K18)/(J18+K18), 0)</f>
        <v/>
      </c>
    </row>
    <row r="19" ht="24" customHeight="1">
      <c r="A19" s="4" t="inlineStr">
        <is>
          <t>JD_15</t>
        </is>
      </c>
      <c r="B19" s="4" t="inlineStr">
        <is>
          <t>JD</t>
        </is>
      </c>
      <c r="C19" s="5" t="inlineStr">
        <is>
          <t>Frontend Developer (JavaScript, Angular) (Công ty Cổ phần Giải pháp Công nghệ ITE)</t>
        </is>
      </c>
      <c r="D19" s="4" t="inlineStr">
        <is>
          <t>Hà Nội</t>
        </is>
      </c>
      <c r="E19" s="5" t="inlineStr">
        <is>
          <t>Vuex, JQuery, React.js (Javascript Library), Vue.js (Javascript Library), JavaScript (Programming Language), TypeScript, Object-Oriented Programming (OOP), Object-Oriented Design, Docker (Software), Git (Version Control System), Angular (Web Framework), HTML5, Cascading Style Sheets (CSS)</t>
        </is>
      </c>
      <c r="F19" s="5" t="inlineStr">
        <is>
          <t>Vuex, JQuery, React.js (Javascript Library), Vue.js (Javascript Library), JavaScript (Programming Language), TypeScript, Object-Oriented Programming (OOP), Object-Oriented Design, Docker (Software), Git (Version Control System), Angular (Web Framework), HTML5, Cascading Style Sheets (CSS)</t>
        </is>
      </c>
      <c r="G19" s="4" t="n">
        <v>13</v>
      </c>
      <c r="H19" s="4" t="n">
        <v>0</v>
      </c>
      <c r="I19" s="4" t="n">
        <v>0</v>
      </c>
      <c r="J19" s="6">
        <f>IF((G19+H19)&gt;0, G19/(G19+H19), 0)</f>
        <v/>
      </c>
      <c r="K19" s="6">
        <f>IF((G19+I19)&gt;0, G19/(G19+I19), 0)</f>
        <v/>
      </c>
      <c r="L19" s="6">
        <f>IF((J19+K19)&gt;0, 2*(J19*K19)/(J19+K19), 0)</f>
        <v/>
      </c>
    </row>
    <row r="20" ht="24" customHeight="1">
      <c r="A20" s="4" t="inlineStr">
        <is>
          <t>JD_16</t>
        </is>
      </c>
      <c r="B20" s="4" t="inlineStr">
        <is>
          <t>JD</t>
        </is>
      </c>
      <c r="C20" s="5" t="inlineStr">
        <is>
          <t>Technical Lead (Java) (ITviec Recruitment Consulting)</t>
        </is>
      </c>
      <c r="D20" s="4" t="inlineStr">
        <is>
          <t>Hồ Chí Minh</t>
        </is>
      </c>
      <c r="E20" s="5" t="inlineStr">
        <is>
          <t>Communication, Leadership, Agile Software Development, FinancialForce, Google Cloud Platform (GCP), Microsoft Azure, Data Pipelines, Java Security, Vulnerability Scanning, Apache Kafka, Kubernetes, Java (Programming Language), Java, Enterprise Messaging Systems, Mobile Platform Development, SQL (Programming Language), GraphQL, Code Generation, Event-Driven Programming, Microservices, CI/CD, Spring Boot, Docker (Software), Git (Version Control System), Version Control</t>
        </is>
      </c>
      <c r="F20" s="5" t="inlineStr">
        <is>
          <t>Communication, Leadership, Agile Software Development, FinancialForce, Google Cloud Platform (GCP), Microsoft Azure, Data Pipelines, Java Security, Vulnerability Scanning, Apache Kafka, Kubernetes, Java (Programming Language), Java, Enterprise Messaging Systems, Mobile Platform Development, SQL (Programming Language), GraphQL, Code Generation, Event-Driven Programming, Microservices, CI/CD, Spring Boot, Docker (Software), Git (Version Control System), Version Control</t>
        </is>
      </c>
      <c r="G20" s="4" t="n">
        <v>25</v>
      </c>
      <c r="H20" s="4" t="n">
        <v>0</v>
      </c>
      <c r="I20" s="4" t="n">
        <v>0</v>
      </c>
      <c r="J20" s="6">
        <f>IF((G20+H20)&gt;0, G20/(G20+H20), 0)</f>
        <v/>
      </c>
      <c r="K20" s="6">
        <f>IF((G20+I20)&gt;0, G20/(G20+I20), 0)</f>
        <v/>
      </c>
      <c r="L20" s="6">
        <f>IF((J20+K20)&gt;0, 2*(J20*K20)/(J20+K20), 0)</f>
        <v/>
      </c>
    </row>
    <row r="21" ht="24" customHeight="1">
      <c r="A21" s="4" t="inlineStr">
        <is>
          <t>JD_17</t>
        </is>
      </c>
      <c r="B21" s="4" t="inlineStr">
        <is>
          <t>JD</t>
        </is>
      </c>
      <c r="C21" s="5" t="inlineStr">
        <is>
          <t>Software Engineer (CÔNG TY TNHH FUJITSU VIỆT NAM)</t>
        </is>
      </c>
      <c r="D21" s="4" t="inlineStr">
        <is>
          <t>Hà Nội</t>
        </is>
      </c>
      <c r="E21" s="5" t="inlineStr">
        <is>
          <t>Project Design, Ability To Meet Deadlines, Japanese Language, Motor Coordination, Professional Responsibility, Relational Databases, PostgreSQL, Microsoft SQL Servers, MongoDB, NoSQL, Apache Cassandra, Apache Kafka, Hibernate (Java), Vuex, React Redux, Apache ActiveMQ, Advanced Message Queuing Protocol, Linux, JavaScript (Programming Language), Spring MVC, Spring Boot, Angular (Web Framework), HTML5, Cascading Style Sheets (CSS), Web Frameworks</t>
        </is>
      </c>
      <c r="F21" s="5" t="inlineStr">
        <is>
          <t>Project Design, Ability To Meet Deadlines, Japanese Language, Motor Coordination, Professional Responsibility, Relational Databases, PostgreSQL, Microsoft SQL Servers, MongoDB, NoSQL, Apache Cassandra, Apache Kafka, Hibernate (Java), Vuex, React Redux, Apache ActiveMQ, Advanced Message Queuing Protocol, Linux, JavaScript (Programming Language), Spring MVC, Spring Boot, Angular (Web Framework), HTML5, Cascading Style Sheets (CSS), Web Frameworks</t>
        </is>
      </c>
      <c r="G21" s="4" t="n">
        <v>25</v>
      </c>
      <c r="H21" s="4" t="n">
        <v>0</v>
      </c>
      <c r="I21" s="4" t="n">
        <v>0</v>
      </c>
      <c r="J21" s="6">
        <f>IF((G21+H21)&gt;0, G21/(G21+H21), 0)</f>
        <v/>
      </c>
      <c r="K21" s="6">
        <f>IF((G21+I21)&gt;0, G21/(G21+I21), 0)</f>
        <v/>
      </c>
      <c r="L21" s="6">
        <f>IF((J21+K21)&gt;0, 2*(J21*K21)/(J21+K21), 0)</f>
        <v/>
      </c>
    </row>
    <row r="22" ht="24" customHeight="1">
      <c r="A22" s="4" t="inlineStr">
        <is>
          <t>JD_18</t>
        </is>
      </c>
      <c r="B22" s="4" t="inlineStr">
        <is>
          <t>JD</t>
        </is>
      </c>
      <c r="C22" s="5" t="inlineStr">
        <is>
          <t>Backend Technical Lead – PRO Trading (Go, Rust, Python) (CÔNG TY CỔ PHẦN CHỨNG KHOÁN KAFI)</t>
        </is>
      </c>
      <c r="D22" s="4" t="inlineStr">
        <is>
          <t>Hồ Chí Minh</t>
        </is>
      </c>
      <c r="E22" s="5" t="inlineStr">
        <is>
          <t>Risk Mindset, Analytical Skills, Leadership, Problem Solving, Mentorship, Verbal Communication Skills, Reliability, RESTful API, API Design, Real-Time Computing, Database Modeling, Relational Databases, PostgreSQL, MongoDB, NoSQL, Redis, Apache Kafka, gRPC, Distributed Computing, Kubernetes, Fault Management, Enterprise Messaging Systems, WebSocket, Go (Programming Language), Rust (Programming Language), Python (Programming Language), Back End (Software Engineering), Event-Driven Programming, Scalability, Microservices, Observability, Docker (Software), Code Review, Performance Tuning, Systems Architecture, Systems Design, Prometheus (Software), Containerization, Web Performance Optimization</t>
        </is>
      </c>
      <c r="F22" s="5" t="inlineStr">
        <is>
          <t>Risk Mindset, Analytical Skills, Leadership, Problem Solving, Mentorship, Verbal Communication Skills, Reliability, RESTful API, API Design, Real-Time Computing, Database Modeling, Relational Databases, PostgreSQL, MongoDB, NoSQL, Redis, Apache Kafka, gRPC, Distributed Computing, Kubernetes, Fault Management, Enterprise Messaging Systems, WebSocket, Go (Programming Language), Rust (Programming Language), Python (Programming Language), Back End (Software Engineering), Event-Driven Programming, Scalability, Microservices, Observability, Docker (Software), Code Review, Performance Tuning, Systems Architecture, Systems Design, Prometheus (Software), Containerization, Web Performance Optimization</t>
        </is>
      </c>
      <c r="G22" s="4" t="n">
        <v>39</v>
      </c>
      <c r="H22" s="4" t="n">
        <v>0</v>
      </c>
      <c r="I22" s="4" t="n">
        <v>0</v>
      </c>
      <c r="J22" s="6">
        <f>IF((G22+H22)&gt;0, G22/(G22+H22), 0)</f>
        <v/>
      </c>
      <c r="K22" s="6">
        <f>IF((G22+I22)&gt;0, G22/(G22+I22), 0)</f>
        <v/>
      </c>
      <c r="L22" s="6">
        <f>IF((J22+K22)&gt;0, 2*(J22*K22)/(J22+K22), 0)</f>
        <v/>
      </c>
    </row>
    <row r="23" ht="24" customHeight="1">
      <c r="A23" s="4" t="inlineStr">
        <is>
          <t>JD_19</t>
        </is>
      </c>
      <c r="B23" s="4" t="inlineStr">
        <is>
          <t>JD</t>
        </is>
      </c>
      <c r="C23" s="5" t="inlineStr">
        <is>
          <t>Staff NodeJS Software Engineer (DataXight)</t>
        </is>
      </c>
      <c r="D23" s="4" t="inlineStr">
        <is>
          <t>Hồ Chí Minh</t>
        </is>
      </c>
      <c r="E23" s="5" t="inlineStr">
        <is>
          <t>Communication, Depth Perception, Problem Solving, Mentorship, Natural Sciences, Verbal Communication Skills, Scrum (Software Development), Test-Driven Development (TDD), MLOps (Machine Learning Operations), AWS Lambda, Query Optimization, Relational Databases, MongoDB, Redis, Authorization (Computing), Node.js (Javascript Library), Linux, Python (Programming Language), Software Engineering, CI/CD, Chai (Software), Mocha (JavaScript Framework), Unit Testing, Integration Testing</t>
        </is>
      </c>
      <c r="F23" s="5" t="inlineStr">
        <is>
          <t>Communication, Depth Perception, Problem Solving, Mentorship, Natural Sciences, Verbal Communication Skills, Scrum (Software Development), Test-Driven Development (TDD), MLOps (Machine Learning Operations), AWS Lambda, Query Optimization, Relational Databases, MongoDB, Redis, Authorization (Computing), Node.js (Javascript Library), Linux, Python (Programming Language), Software Engineering, CI/CD, Chai (Software), Mocha (JavaScript Framework), Unit Testing, Integration Testing</t>
        </is>
      </c>
      <c r="G23" s="4" t="n">
        <v>24</v>
      </c>
      <c r="H23" s="4" t="n">
        <v>0</v>
      </c>
      <c r="I23" s="4" t="n">
        <v>0</v>
      </c>
      <c r="J23" s="6">
        <f>IF((G23+H23)&gt;0, G23/(G23+H23), 0)</f>
        <v/>
      </c>
      <c r="K23" s="6">
        <f>IF((G23+I23)&gt;0, G23/(G23+I23), 0)</f>
        <v/>
      </c>
      <c r="L23" s="6">
        <f>IF((J23+K23)&gt;0, 2*(J23*K23)/(J23+K23), 0)</f>
        <v/>
      </c>
    </row>
    <row r="24" ht="24" customHeight="1">
      <c r="A24" s="4" t="inlineStr">
        <is>
          <t>JD_20</t>
        </is>
      </c>
      <c r="B24" s="4" t="inlineStr">
        <is>
          <t>JD</t>
        </is>
      </c>
      <c r="C24" s="5" t="inlineStr">
        <is>
          <t>Middle Backend Engineer (Global Fashion Group)</t>
        </is>
      </c>
      <c r="D24" s="4" t="inlineStr">
        <is>
          <t>Hồ Chí Minh</t>
        </is>
      </c>
      <c r="E24" s="5" t="inlineStr">
        <is>
          <t>Agile Software Development, RESTful API, API Design, Google Cloud Platform (GCP), Microsoft Azure, PostgreSQL, Microsoft SQL Servers, MySQL, Kubernetes, Infrastructure as Code (IaC), Node.js (Javascript Library), PHP (Scripting Language), TypeScript, Back End (Software Engineering), Software Design Patterns, DevOps, Solid Principles, CI/CD, Terraform, Docker (Software), Unit Testing</t>
        </is>
      </c>
      <c r="F24" s="5" t="inlineStr">
        <is>
          <t>Agile Software Development, RESTful API, API Design, Google Cloud Platform (GCP), Microsoft Azure, PostgreSQL, Microsoft SQL Servers, MySQL, Kubernetes, Infrastructure as Code (IaC), Node.js (Javascript Library), PHP (Scripting Language), TypeScript, Back End (Software Engineering), Software Design Patterns, DevOps, Solid Principles, CI/CD, Terraform, Docker (Software), Unit Testing</t>
        </is>
      </c>
      <c r="G24" s="4" t="n">
        <v>21</v>
      </c>
      <c r="H24" s="4" t="n">
        <v>0</v>
      </c>
      <c r="I24" s="4" t="n">
        <v>0</v>
      </c>
      <c r="J24" s="6">
        <f>IF((G24+H24)&gt;0, G24/(G24+H24), 0)</f>
        <v/>
      </c>
      <c r="K24" s="6">
        <f>IF((G24+I24)&gt;0, G24/(G24+I24), 0)</f>
        <v/>
      </c>
      <c r="L24" s="6">
        <f>IF((J24+K24)&gt;0, 2*(J24*K24)/(J24+K24), 0)</f>
        <v/>
      </c>
    </row>
    <row r="25" ht="24" customHeight="1">
      <c r="A25" s="4" t="inlineStr">
        <is>
          <t>CV_01</t>
        </is>
      </c>
      <c r="B25" s="4" t="inlineStr">
        <is>
          <t>CV</t>
        </is>
      </c>
      <c r="C25" s="5" t="inlineStr">
        <is>
          <t>22127046_BaCong_CV.pdf</t>
        </is>
      </c>
      <c r="D25" s="4" t="inlineStr">
        <is>
          <t>Việt Nam</t>
        </is>
      </c>
      <c r="E25" s="5" t="inlineStr">
        <is>
          <t>Computer Vision, HTML, CSS, JavaScript, Express.js, Backend programming, Flutter, Frontend development, PyTorch, Python, OpenCV, YOLO, C++, CMake, Git, GitHub, English (Language proficiency), IELTS</t>
        </is>
      </c>
      <c r="F25" s="5" t="inlineStr">
        <is>
          <t>Computer Vision, Data Structures and Algorithms, Digital Image Processing, HTML, CSS, JavaScript, Express.js, Backend programming, Flutter, Frontend development, PyTorch, Python, OpenCV, YOLO, C++, CMake, Git, GitHub, English, IELTS</t>
        </is>
      </c>
      <c r="G25" s="4" t="n">
        <v>17</v>
      </c>
      <c r="H25" s="4" t="n">
        <v>1</v>
      </c>
      <c r="I25" s="4" t="n">
        <v>3</v>
      </c>
      <c r="J25" s="6">
        <f>IF((G25+H25)&gt;0, G25/(G25+H25), 0)</f>
        <v/>
      </c>
      <c r="K25" s="6">
        <f>IF((G25+I25)&gt;0, G25/(G25+I25), 0)</f>
        <v/>
      </c>
      <c r="L25" s="6">
        <f>IF((J25+K25)&gt;0, 2*(J25*K25)/(J25+K25), 0)</f>
        <v/>
      </c>
    </row>
    <row r="26" ht="24" customHeight="1">
      <c r="A26" s="4" t="inlineStr">
        <is>
          <t>CV_02</t>
        </is>
      </c>
      <c r="B26" s="4" t="inlineStr">
        <is>
          <t>CV</t>
        </is>
      </c>
      <c r="C26" s="5" t="inlineStr">
        <is>
          <t>_CV_job__Quang_Huy_Tran.pdf</t>
        </is>
      </c>
      <c r="D26" s="4" t="inlineStr">
        <is>
          <t>Việt Nam</t>
        </is>
      </c>
      <c r="E26" s="5" t="inlineStr">
        <is>
          <t>Machine Learning, Computer Vision, Python, Data Science, Deep Learning, Data Mining, Programming for Data Science, Java, Rust, mySQL, Qdrant, PyTorch, AWS Cloud Practitioner, Docker, Git, Colab, Linux, NumPy, Pandas, Matplotlib, Seaborn, Scikit-learn, NLP</t>
        </is>
      </c>
      <c r="F26" s="5" t="inlineStr">
        <is>
          <t>Machine Learning, Computer Vision, Python, Data Science, Deep Learning, Data Mining, Programming for Data Science, Java, Rust, mySQL, Qdrant, PyTorch, AWS Cloud Practitioner, Docker, Git, Colab, Linux, NumPy, Pandas, Matplotlib, Seaborn, Scikit-learn, NLP</t>
        </is>
      </c>
      <c r="G26" s="4" t="n">
        <v>23</v>
      </c>
      <c r="H26" s="4" t="n">
        <v>0</v>
      </c>
      <c r="I26" s="4" t="n">
        <v>0</v>
      </c>
      <c r="J26" s="6">
        <f>IF((G26+H26)&gt;0, G26/(G26+H26), 0)</f>
        <v/>
      </c>
      <c r="K26" s="6">
        <f>IF((G26+I26)&gt;0, G26/(G26+I26), 0)</f>
        <v/>
      </c>
      <c r="L26" s="6">
        <f>IF((J26+K26)&gt;0, 2*(J26*K26)/(J26+K26), 0)</f>
        <v/>
      </c>
    </row>
    <row r="27" ht="24" customHeight="1">
      <c r="A27" s="4" t="inlineStr">
        <is>
          <t>CV_03</t>
        </is>
      </c>
      <c r="B27" s="4" t="inlineStr">
        <is>
          <t>CV</t>
        </is>
      </c>
      <c r="C27" s="5" t="inlineStr">
        <is>
          <t>CareerNovaCV_HienLuong.pdf</t>
        </is>
      </c>
      <c r="D27" s="4" t="inlineStr">
        <is>
          <t>Việt Nam</t>
        </is>
      </c>
      <c r="E27" s="5" t="inlineStr">
        <is>
          <t>Teamwork, C++, Python, HTML, CSS, Javascript, TypeScript, Google Workspace</t>
        </is>
      </c>
      <c r="F27" s="5" t="inlineStr">
        <is>
          <t>Teamwork, Leadership, Adaptability, C++, Python, HTML, CSS, Javascript, TypeScript, Google Workspace</t>
        </is>
      </c>
      <c r="G27" s="4" t="n">
        <v>8</v>
      </c>
      <c r="H27" s="4" t="n">
        <v>0</v>
      </c>
      <c r="I27" s="4" t="n">
        <v>2</v>
      </c>
      <c r="J27" s="6">
        <f>IF((G27+H27)&gt;0, G27/(G27+H27), 0)</f>
        <v/>
      </c>
      <c r="K27" s="6">
        <f>IF((G27+I27)&gt;0, G27/(G27+I27), 0)</f>
        <v/>
      </c>
      <c r="L27" s="6">
        <f>IF((J27+K27)&gt;0, 2*(J27*K27)/(J27+K27), 0)</f>
        <v/>
      </c>
    </row>
    <row r="28" ht="24" customHeight="1">
      <c r="A28" s="4" t="inlineStr">
        <is>
          <t>CV_04</t>
        </is>
      </c>
      <c r="B28" s="4" t="inlineStr">
        <is>
          <t>CV</t>
        </is>
      </c>
      <c r="C28" s="5" t="inlineStr">
        <is>
          <t>CV_22127470 _LeHoangYen.pdf</t>
        </is>
      </c>
      <c r="D28" s="4" t="inlineStr">
        <is>
          <t>Việt Nam</t>
        </is>
      </c>
      <c r="E28" s="5" t="inlineStr">
        <is>
          <t>SQL, SQL Server, Python, MongoDB, NodeJS, Oracle, Time Management, Problem-Solving, Team Collaboration, English, ETL, OLAP, Data Mining, React, PayPal Sandbox</t>
        </is>
      </c>
      <c r="F28" s="5" t="inlineStr">
        <is>
          <t>SQL, SQL Server, Python, MongoDB, NodeJS, Oracle, Time Management, Problem-Solving, Team Collaboration, English, ETL, OLAP, Data Mining, React, PayPal Sandbox</t>
        </is>
      </c>
      <c r="G28" s="4" t="n">
        <v>15</v>
      </c>
      <c r="H28" s="4" t="n">
        <v>0</v>
      </c>
      <c r="I28" s="4" t="n">
        <v>0</v>
      </c>
      <c r="J28" s="6">
        <f>IF((G28+H28)&gt;0, G28/(G28+H28), 0)</f>
        <v/>
      </c>
      <c r="K28" s="6">
        <f>IF((G28+I28)&gt;0, G28/(G28+I28), 0)</f>
        <v/>
      </c>
      <c r="L28" s="6">
        <f>IF((J28+K28)&gt;0, 2*(J28*K28)/(J28+K28), 0)</f>
        <v/>
      </c>
    </row>
    <row r="29" ht="24" customHeight="1">
      <c r="A29" s="4" t="inlineStr">
        <is>
          <t>CV_05</t>
        </is>
      </c>
      <c r="B29" s="4" t="inlineStr">
        <is>
          <t>CV</t>
        </is>
      </c>
      <c r="C29" s="5" t="inlineStr">
        <is>
          <t>CV_AI.png</t>
        </is>
      </c>
      <c r="D29" s="4" t="inlineStr">
        <is>
          <t>Việt Nam</t>
        </is>
      </c>
      <c r="E29" s="5" t="inlineStr">
        <is>
          <t>Deep Learning, CNN, CUDA, PyTorch, ResNet18, ResNet34, ResNet50, SimCLRv2, self-supervised contrastive learning, NT-Xent loss, LARS, SGD, reproducible experiment logs, Project Lead, AI Research, Cybersecurity Research, cyber-deception simulator, MITRE ATT&amp;CK, probabilistic attack graphs, belief-state updates, adaptive decoy, honey-credential, edge-cost interventions, portfolio selection, expected-value objectives, worst-case objectives, attacker behavior models, reproducible benchmarks, policy caching, audit trails, human approval controls, Computer Vision, YOLOvS, detection system, model architecture, loss computation, training, validation, inference, RTSP streams, line-crossing counts, CSV export, media artifact export, dataset validation, transfer learning, reproducible smoke tests, COCO-80, traffic detection, AI Forecasting, SOS Classification, Flood-Aware Routing, flood-response prototype, PINN forecasting, MLP, SOS urgency classification, OSMnx, FASR routing, rescue dispatch, simulation-oriented modules, forecasting AUC, response-time reduction, confidence modes, dispatch-ready recommendations, flood probability, SOS priority, vehicle-aware routing, Data Processing, FastAPI, Forecasting, autoscaling service, SARIMA, Prophet, LightGBM, log traffic prediction, cloud resources adjustment, FastAPI backend, Streamlit dashboard, hysteresis, cooldown logic, scaling decisions stabilization, cost-aware resource oscillation reduction, data preprocessing, forecasting evaluation, autoscaling policy simulation, Python, C++, Ci, Java, NumPy, Pandas, Matplotlib, Self-Supervised Learning, Machine Learning Systems, Deep Reinforcement Learning, Streamlit, Git, GitHub, Linux, LaTeX, experiment logging, reproducible research workflows</t>
        </is>
      </c>
      <c r="F29" s="5" t="inlineStr">
        <is>
          <t>Deep Learning, CNN, CUDA, PyTorch, ResNet18, ResNet34, ResNet50, SimCLRv2, self-supervised contrastive learning, NT-Xent loss, LARS, SGD, reproducible experiment logs, Project Lead, AI Research, Cybersecurity Research, cyber-deception simulator, MITRE ATT&amp;CK, probabilistic attack graphs, belief-state updates, adaptive decoy, honey-credential, edge-cost interventions, portfolio selection, expected-value objectives, worst-case objectives, attacker behavior models, reproducible benchmarks, policy caching, audit trails, human approval controls, Computer Vision, YOLOvS, detection system, model architecture, loss computation, training, validation, inference, RTSP streams, line-crossing counts, CSV export, media artifact export, dataset validation, transfer learning, reproducible smoke tests, COCO-80, traffic detection, AI Forecasting, SOS Classification, Flood-Aware Routing, flood-response prototype, PINN forecasting, MLP, SOS urgency classification, OSMnx, FASR routing, rescue dispatch, simulation-oriented modules, forecasting AUC, response-time reduction, confidence modes, dispatch-ready recommendations, flood probability, SOS priority, vehicle-aware routing, Data Processing, FastAPI, Forecasting, autoscaling service, SARIMA, Prophet, LightGBM, log traffic prediction, cloud resources adjustment, FastAPI backend, Streamlit dashboard, hysteresis, cooldown logic, scaling decisions stabilization, cost-aware resource oscillation reduction, data preprocessing, forecasting evaluation, autoscaling policy simulation, Python, C++, Ci, Java, NumPy, Pandas, Matplotlib, Self-Supervised Learning, Machine Learning Systems, Deep Reinforcement Learning, Streamlit, Git, GitHub, Linux, LaTeX, experiment logging</t>
        </is>
      </c>
      <c r="G29" s="4" t="n">
        <v>100</v>
      </c>
      <c r="H29" s="4" t="n">
        <v>1</v>
      </c>
      <c r="I29" s="4" t="n">
        <v>0</v>
      </c>
      <c r="J29" s="6">
        <f>IF((G29+H29)&gt;0, G29/(G29+H29), 0)</f>
        <v/>
      </c>
      <c r="K29" s="6">
        <f>IF((G29+I29)&gt;0, G29/(G29+I29), 0)</f>
        <v/>
      </c>
      <c r="L29" s="6">
        <f>IF((J29+K29)&gt;0, 2*(J29*K29)/(J29+K29), 0)</f>
        <v/>
      </c>
    </row>
    <row r="30" ht="24" customHeight="1">
      <c r="A30" s="4" t="inlineStr">
        <is>
          <t>CV_06</t>
        </is>
      </c>
      <c r="B30" s="4" t="inlineStr">
        <is>
          <t>CV</t>
        </is>
      </c>
      <c r="C30" s="5" t="inlineStr">
        <is>
          <t>CV_AI_18.png</t>
        </is>
      </c>
      <c r="D30" s="4" t="inlineStr">
        <is>
          <t>Việt Nam</t>
        </is>
      </c>
      <c r="E30" s="5" t="inlineStr">
        <is>
          <t>IELTS, Chinese HSK 3, AI Engineering, LangGraph, LangChain, RAG, Embeddings, ChromaDB, OCR, NLI, Python, C++, Java, JavaScript, TypeScript, FastAPI, Flask, ExpressJS, Node.js, REST APIs, Async Workflows, MySQL, MongoDB, Pandas, NumPy, Data Cleaning, PyTorch, LSTM, Time-Series Forecasting, Model Evaluation, Git, Docker, Linux, HTTP, TCP, CI/CD, Ollama, Full-Stack Development, Applied AI, GitHub, React, AI Contradiction Detection, LLM Claim Extraction, deberta-v3-base, Anthropic, OpenAI, DeepSeek, Structured Prompt Design, LLM-based Claim Classification, Backend, Stateful Agents, Long-term Memory, Cross-session Episodic Recall, LLM-generated Reflections, Multi-model Orchestration, Gemini, Perplexity, ReAct Agents, Vision OCR, Vietnamese Translation, Tavily Web Search, Vector DB Retrieval, Gradio, Multi-modal Input, Data Engineering, Analytics, Playwright, SQLite, Streamlit, Web Crawling, CDN API Requests, Checkpoint Recovery, Rate-limited Pagination, Data Parsing, Data Enrichment, Data Normalization, Information Extraction from Unstructured Text, Work Model Classification, Skill Mapping, SQL Analytics, Interactive Dashboard Development, Market Analysis, Skill Demand Analysis, Salary Analysis, Location Distribution Analysis, Work Model Analysis, Trend Analysis, Problem Solving, Teamwork, Self Learning, Working Under Pressure, Adaptability</t>
        </is>
      </c>
      <c r="F30" s="5" t="inlineStr">
        <is>
          <t>IELTS, Chinese HSK 3, AI Engineering, LangGraph, LangChain, RAG, Embeddings, ChromaDB, OCR, NLI, Python, C++, Java, JavaScript, TypeScript, FastAPI, Flask, ExpressJS, Node.js, REST APIs, Async Workflows, MySQL, MongoDB, Pandas, NumPy, Data Cleaning, PyTorch, LSTM, Time-Series Forecasting, Model Evaluation, Git, Docker, Linux, HTTP, TCP, CI/CD, Ollama, Full-Stack Development, Applied AI, GitHub, React, AI Contradiction Detection, LLM Claim Extraction, deberta-v3-base, Anthropic, OpenAI, DeepSeek, Structured Prompt Design, LLM-based Claim Classification, Backend, Stateful Agents, Long-term Memory, Cross-session Episodic Recall, LLM-generated Reflections, Multi-model Orchestration, Gemini, Perplexity, ReAct Agents, Vision OCR, Vietnamese Translation, Tavily Web Search, Vector DB Retrieval, Gradio, Multi-modal Input, Data Engineering, Analytics, Playwright, SQLite, Streamlit, Web Crawling, CDN API Requests, Checkpoint Recovery, Rate-limited Pagination, Data Parsing, Data Enrichment, Data Normalization, Information Extraction from Unstructured Text, Work Model Classification, Skill Mapping, SQL Analytics, Interactive Dashboard Development, Market Analysis, Skill Demand Analysis, Salary Analysis, Location Distribution Analysis, Work Model Analysis, Trend Analysis, Problem Solving, Teamwork, Self Learning, Working Under Pressure, Adaptability</t>
        </is>
      </c>
      <c r="G30" s="4" t="n">
        <v>92</v>
      </c>
      <c r="H30" s="4" t="n">
        <v>0</v>
      </c>
      <c r="I30" s="4" t="n">
        <v>0</v>
      </c>
      <c r="J30" s="6">
        <f>IF((G30+H30)&gt;0, G30/(G30+H30), 0)</f>
        <v/>
      </c>
      <c r="K30" s="6">
        <f>IF((G30+I30)&gt;0, G30/(G30+I30), 0)</f>
        <v/>
      </c>
      <c r="L30" s="6">
        <f>IF((J30+K30)&gt;0, 2*(J30*K30)/(J30+K30), 0)</f>
        <v/>
      </c>
    </row>
    <row r="31" ht="24" customHeight="1">
      <c r="A31" s="4" t="inlineStr">
        <is>
          <t>CV_07</t>
        </is>
      </c>
      <c r="B31" s="4" t="inlineStr">
        <is>
          <t>CV</t>
        </is>
      </c>
      <c r="C31" s="5" t="inlineStr">
        <is>
          <t>CV_AI_20.jpg</t>
        </is>
      </c>
      <c r="D31" s="4" t="inlineStr">
        <is>
          <t>Việt Nam</t>
        </is>
      </c>
      <c r="E31" s="5" t="inlineStr">
        <is>
          <t>Artificial Intelligence, Machine Learning, Natural Language Processing, Retrieval-Augmented Generation (RAG) systems, Convolutional Neural Networks (CNN), FastAPI, Docker, Deep Learning, LangChain, Faiss, Streamlit, SQLite, Gemini 2.5 Pro, MySQL, Adversarial Training, Python, C/C++, SQL, PyTorch, TensorFlow, Keras, Hugging Face, OpenCV, Scikit-learn, Pandas, NumPy, Git</t>
        </is>
      </c>
      <c r="F31" s="5" t="inlineStr">
        <is>
          <t>Artificial Intelligence, Machine Learning, Natural Language Processing, Retrieval-Augmented Generation (RAG) systems, Convolutional Neural Networks (CNN), FastAPI, Docker, Deep Learning, LangChain, Faiss, Streamlit, SQLite, Gemini 2.5 Pro, MySQL, Adversarial Training, Python, C/C++, SQL, PyTorch, TensorFlow, Keras, Hugging Face, OpenCV, Scikit-learn, Pandas, NumPy, Git</t>
        </is>
      </c>
      <c r="G31" s="4" t="n">
        <v>27</v>
      </c>
      <c r="H31" s="4" t="n">
        <v>0</v>
      </c>
      <c r="I31" s="4" t="n">
        <v>0</v>
      </c>
      <c r="J31" s="6">
        <f>IF((G31+H31)&gt;0, G31/(G31+H31), 0)</f>
        <v/>
      </c>
      <c r="K31" s="6">
        <f>IF((G31+I31)&gt;0, G31/(G31+I31), 0)</f>
        <v/>
      </c>
      <c r="L31" s="6">
        <f>IF((J31+K31)&gt;0, 2*(J31*K31)/(J31+K31), 0)</f>
        <v/>
      </c>
    </row>
    <row r="32" ht="24" customHeight="1">
      <c r="A32" s="4" t="inlineStr">
        <is>
          <t>CV_08</t>
        </is>
      </c>
      <c r="B32" s="4" t="inlineStr">
        <is>
          <t>CV</t>
        </is>
      </c>
      <c r="C32" s="5" t="inlineStr">
        <is>
          <t>CV_AI_Intern_1.jpg</t>
        </is>
      </c>
      <c r="D32" s="4" t="inlineStr">
        <is>
          <t>Việt Nam</t>
        </is>
      </c>
      <c r="E32" s="5" t="inlineStr">
        <is>
          <t>machine learning, deep learning, computer vision, Python, Twelve API, Gemini API, PyTorch, Niztla, Kaggle, LSTM, HuggingFace, FAISS, Sentence Transformers, OpenCV, Git, SQL Server, Docker, Visual Studio, Regression, Classification, Clustering, Feature Engineering, CNN, Transformer, Fine-tuning LLM, Attention Mechanism, Detection, Segmentation, OCR, NLP, RAG, Time Series Forecasting, Recommender Systems, Teamwork, Problem-solving, Self-learning, APTIS ESOL, CEFR B2, Agile Development, Scrum Framework, Communication, Persuasive Speaking Skills</t>
        </is>
      </c>
      <c r="F32" s="5" t="inlineStr">
        <is>
          <t>machine learning, deep learning, computer vision, Python, Twelve API, Gemini API, PyTorch, Niztla, Kaggle, LSTM, HuggingFace, FAISS, Sentence Transformers, OpenCV, Git, SQL Server, Docker, Visual Studio, Regression, Classification, Clustering, Feature Engineering, CNN, Transformer, Fine-tuning LLM, Attention Mechanism, Detection, Segmentation, OCR, NLP, RAG, Time Series Forecasting, Recommender Systems, Teamwork, Problem-solving, Self-learning, APTIS ESOL, CEFR B2, Agile Development, Scrum Framework, Communication, Persuasive Speaking Skills</t>
        </is>
      </c>
      <c r="G32" s="4" t="n">
        <v>42</v>
      </c>
      <c r="H32" s="4" t="n">
        <v>0</v>
      </c>
      <c r="I32" s="4" t="n">
        <v>0</v>
      </c>
      <c r="J32" s="6">
        <f>IF((G32+H32)&gt;0, G32/(G32+H32), 0)</f>
        <v/>
      </c>
      <c r="K32" s="6">
        <f>IF((G32+I32)&gt;0, G32/(G32+I32), 0)</f>
        <v/>
      </c>
      <c r="L32" s="6">
        <f>IF((J32+K32)&gt;0, 2*(J32*K32)/(J32+K32), 0)</f>
        <v/>
      </c>
    </row>
    <row r="33" ht="24" customHeight="1">
      <c r="A33" s="4" t="inlineStr">
        <is>
          <t>CV_09</t>
        </is>
      </c>
      <c r="B33" s="4" t="inlineStr">
        <is>
          <t>CV</t>
        </is>
      </c>
      <c r="C33" s="5" t="inlineStr">
        <is>
          <t>CV_ATTT_DQD_2.jpg</t>
        </is>
      </c>
      <c r="D33" s="4" t="inlineStr">
        <is>
          <t>Việt Nam</t>
        </is>
      </c>
      <c r="E33" s="5" t="inlineStr">
        <is>
          <t>Foreign language skills, Machine Learning, Intrusion Detection System (IDS), Python, Random Forest, Suricata, Ubuntu 22.04, Kali Linux 2025, Taseale, VPN, CIC-IDS 2018, Modbus, S7comm, SCADA, OT/ICS, ESP32</t>
        </is>
      </c>
      <c r="F33" s="5" t="inlineStr">
        <is>
          <t>Foreign language skills, Machine Learning, Intrusion Detection System (IDS), Python, Random Forest, Suricata, Ubuntu 22.04, Kali Linux 2025, Taseale, VPN, CIC-IDS 2018, Modbus, S7comm, SCADA, OT/ICS, ESP32, Time Management</t>
        </is>
      </c>
      <c r="G33" s="4" t="n">
        <v>16</v>
      </c>
      <c r="H33" s="4" t="n">
        <v>0</v>
      </c>
      <c r="I33" s="4" t="n">
        <v>1</v>
      </c>
      <c r="J33" s="6">
        <f>IF((G33+H33)&gt;0, G33/(G33+H33), 0)</f>
        <v/>
      </c>
      <c r="K33" s="6">
        <f>IF((G33+I33)&gt;0, G33/(G33+I33), 0)</f>
        <v/>
      </c>
      <c r="L33" s="6">
        <f>IF((J33+K33)&gt;0, 2*(J33*K33)/(J33+K33), 0)</f>
        <v/>
      </c>
    </row>
    <row r="34" ht="24" customHeight="1">
      <c r="A34" s="4" t="inlineStr">
        <is>
          <t>CV_10</t>
        </is>
      </c>
      <c r="B34" s="4" t="inlineStr">
        <is>
          <t>CV</t>
        </is>
      </c>
      <c r="C34" s="5" t="inlineStr">
        <is>
          <t>CV_BA_3.png</t>
        </is>
      </c>
      <c r="D34" s="4" t="inlineStr">
        <is>
          <t>Việt Nam</t>
        </is>
      </c>
      <c r="E34" s="5" t="inlineStr">
        <is>
          <t>Requirement Analysis, BRD Writing, SRS (System Requirements Specification), UML, Use Case Diagram, Sequence Diagram, ERD (Entity-Relationship Diagram), Database Design, Business Process Description, Business Process Analysis, SQL Server, Database Table Design, Relational Database Querying, SELECT (SQL), JOIN (SQL), draw.io, StarUML, Git, Basic Version Control, Basic UI/UX, Figma, Wireframe Design, Logical Thinking, Requirements Clarification, Basic Programming Understanding, Basic English Reading Comprehension, System Requirements Survey, BRD Development, Functional Requirements Definition, Use Case Development, System Modeling, Database Modeling, Business Logic Modeling, Solution Proposal, Process Digitization, Data Management Improvement, Data Retrieval Support</t>
        </is>
      </c>
      <c r="F34" s="5" t="inlineStr">
        <is>
          <t>Requirement Analysis, BRD Writing, SRS (System Requirements Specification), UML, Use Case Diagram, Sequence Diagram, ERD (Entity-Relationship Diagram), Database Design, Business Process Description, Business Process Analysis, SQL Server, Database Table Design, Relational Database Querying, SELECT (SQL), JOIN (SQL), draw.io, StarUML, Git, Basic Version Control, Basic UI/UX, Figma, Wireframe Design, Logical Thinking, Requirements Clarification, Basic Programming Understanding, Basic English Reading Comprehension, System Requirements Survey, BRD Development, Functional Requirements Definition, Use Case Development, System Modeling, Database Modeling, Business Logic Modeling, Solution Proposal, Process Digitization, Data Management Improvement</t>
        </is>
      </c>
      <c r="G34" s="4" t="n">
        <v>36</v>
      </c>
      <c r="H34" s="4" t="n">
        <v>1</v>
      </c>
      <c r="I34" s="4" t="n">
        <v>0</v>
      </c>
      <c r="J34" s="6">
        <f>IF((G34+H34)&gt;0, G34/(G34+H34), 0)</f>
        <v/>
      </c>
      <c r="K34" s="6">
        <f>IF((G34+I34)&gt;0, G34/(G34+I34), 0)</f>
        <v/>
      </c>
      <c r="L34" s="6">
        <f>IF((J34+K34)&gt;0, 2*(J34*K34)/(J34+K34), 0)</f>
        <v/>
      </c>
    </row>
    <row r="35" ht="24" customHeight="1">
      <c r="A35" s="4" t="inlineStr">
        <is>
          <t>CV_11</t>
        </is>
      </c>
      <c r="B35" s="4" t="inlineStr">
        <is>
          <t>CV</t>
        </is>
      </c>
      <c r="C35" s="5" t="inlineStr">
        <is>
          <t>CV_BA_38.png</t>
        </is>
      </c>
      <c r="D35" s="4" t="inlineStr">
        <is>
          <t>Việt Nam</t>
        </is>
      </c>
      <c r="E35" s="5" t="inlineStr">
        <is>
          <t>Business process modeling, UML, Database design, Project Management, Documentation, System scope definition, Workflow modeling, Business Process Analysis, User Story, Use Case, Relational database design, Database schema design, Operations analysis, Business challenge identification, Requirements definition, Project scope definition, Project Charter, Scope Statement, Business needs analysis, Specifications writing, Planning artifacts development, WBS, TOR, Monitoring Plan, Feasibility Study, Microsoft Word, Microsoft Excel, Microsoft Project, BRD, SRS, Process inefficiency identification, DFD, BFD, Context Diagram, OFD, To-Be solution design, ERD, Wireframing, Draw.io, Figma, Flowchart, Stakeholder Analysis, Sequence Diagram, Report Writing, SQL, MySQL, Communication, Presentation, Team Collaboration, Time Management</t>
        </is>
      </c>
      <c r="F35" s="5" t="inlineStr">
        <is>
          <t>Business process modeling, UML, Database design, Project Management, Documentation, System scope definition, Workflow modeling, Business Process Analysis, User Story, Use Case, Relational database design, Database schema design, Operations analysis, Business challenge identification, Requirements definition, Project scope definition, Project Charter, Scope Statement, Business needs analysis, Specifications writing, Planning artifacts development, WBS, TOR, Monitoring Plan, Feasibility Study, Microsoft Word, Microsoft Excel, Microsoft Project, BRD, SRS, Process inefficiency identification, DFD, BFD, Context Diagram, OFD, To-Be solution design, ERD, Wireframing, Draw.io, Figma, Flowchart, Stakeholder Analysis, Sequence Diagram, Report Writing, SQL, MySQL, Communication, Presentation, Team Collaboration, Time Management</t>
        </is>
      </c>
      <c r="G35" s="4" t="n">
        <v>50</v>
      </c>
      <c r="H35" s="4" t="n">
        <v>0</v>
      </c>
      <c r="I35" s="4" t="n">
        <v>0</v>
      </c>
      <c r="J35" s="6">
        <f>IF((G35+H35)&gt;0, G35/(G35+H35), 0)</f>
        <v/>
      </c>
      <c r="K35" s="6">
        <f>IF((G35+I35)&gt;0, G35/(G35+I35), 0)</f>
        <v/>
      </c>
      <c r="L35" s="6">
        <f>IF((J35+K35)&gt;0, 2*(J35*K35)/(J35+K35), 0)</f>
        <v/>
      </c>
    </row>
    <row r="36" ht="24" customHeight="1">
      <c r="A36" s="4" t="inlineStr">
        <is>
          <t>CV_12</t>
        </is>
      </c>
      <c r="B36" s="4" t="inlineStr">
        <is>
          <t>CV</t>
        </is>
      </c>
      <c r="C36" s="5" t="inlineStr">
        <is>
          <t>CV_BA_Intern_4.jpg</t>
        </is>
      </c>
      <c r="D36" s="4" t="inlineStr">
        <is>
          <t>Việt Nam</t>
        </is>
      </c>
      <c r="E36" s="5" t="inlineStr">
        <is>
          <t>Teamwork, Business Analysis, SQL Server, Requirement Gathering, Business Process Analysis, User Stories, BRD, BPMN, DFD, UML, ERD, SAP S/4HANA, Enterprise Architect, Draw io, Figma, Excel, Power BI, Analytical Thinking, Problem Solving, Communication, English, SQL, HackerRank Certification</t>
        </is>
      </c>
      <c r="F36" s="5" t="inlineStr">
        <is>
          <t>Teamwork, Business Analysis, SQL Server, Requirement Gathering, Business Process Analysis, User Stories, BRD, BPMN, DFD, UML, ERD, SAP S/4HANA, Enterprise Architect, Draw io, Figma, Excel, Power BI, Analytical Thinking, Problem Solving, Communication, English, SQL, HackerRank Certification</t>
        </is>
      </c>
      <c r="G36" s="4" t="n">
        <v>23</v>
      </c>
      <c r="H36" s="4" t="n">
        <v>0</v>
      </c>
      <c r="I36" s="4" t="n">
        <v>0</v>
      </c>
      <c r="J36" s="6">
        <f>IF((G36+H36)&gt;0, G36/(G36+H36), 0)</f>
        <v/>
      </c>
      <c r="K36" s="6">
        <f>IF((G36+I36)&gt;0, G36/(G36+I36), 0)</f>
        <v/>
      </c>
      <c r="L36" s="6">
        <f>IF((J36+K36)&gt;0, 2*(J36*K36)/(J36+K36), 0)</f>
        <v/>
      </c>
    </row>
    <row r="37" ht="24" customHeight="1">
      <c r="A37" s="4" t="inlineStr">
        <is>
          <t>CV_13</t>
        </is>
      </c>
      <c r="B37" s="4" t="inlineStr">
        <is>
          <t>CV</t>
        </is>
      </c>
      <c r="C37" s="5" t="inlineStr">
        <is>
          <t>CV_BD_25.png</t>
        </is>
      </c>
      <c r="D37" s="4" t="inlineStr">
        <is>
          <t>Việt Nam</t>
        </is>
      </c>
      <c r="E37" s="5" t="inlineStr">
        <is>
          <t>Operational Support, Customer Relationship Management, Document Preparation, Negotiation, Collaboration, Report Preparation, English Communication, Documentation Management, Internal Records Management, Structured Filing, Data Accuracy, Data Validation, Data Consistency, Cross-functional Coordination, Operational Efficiency, Business Communication, Bilingual Communication, English Language, Vietnamese Language, Data Reporting, Excel, Dealer Margin Tracking, CSI Reporting, Operational Data Consolidation, Multitasking, Handling Multiple Assignments, Microsoft Office Specialist, PowerPoint, Business Analysis Foundation, Business Analysis, Business Persuasion, IELTS</t>
        </is>
      </c>
      <c r="F37" s="5" t="inlineStr">
        <is>
          <t>Operational Support, Customer Relationship Management, Document Preparation, Negotiation, Collaboration, Report Preparation, English Communication, Documentation Management, Internal Records Management, Structured Filing, Data Accuracy, Data Validation, Data Consistency, Cross-functional Coordination, Operational Efficiency, Business Communication, Bilingual Communication, English Language, Vietnamese Language, Data Reporting, Excel, Dealer Margin Tracking, CSI Reporting, Operational Data Consolidation, Multitasking, Handling Multiple Assignments, Microsoft Office Specialist, PowerPoint, Business Analysis Foundation, Business Analysis, Business Persuasion, IELTS</t>
        </is>
      </c>
      <c r="G37" s="4" t="n">
        <v>32</v>
      </c>
      <c r="H37" s="4" t="n">
        <v>0</v>
      </c>
      <c r="I37" s="4" t="n">
        <v>0</v>
      </c>
      <c r="J37" s="6">
        <f>IF((G37+H37)&gt;0, G37/(G37+H37), 0)</f>
        <v/>
      </c>
      <c r="K37" s="6">
        <f>IF((G37+I37)&gt;0, G37/(G37+I37), 0)</f>
        <v/>
      </c>
      <c r="L37" s="6">
        <f>IF((J37+K37)&gt;0, 2*(J37*K37)/(J37+K37), 0)</f>
        <v/>
      </c>
    </row>
    <row r="38" ht="24" customHeight="1">
      <c r="A38" s="4" t="inlineStr">
        <is>
          <t>CV_14</t>
        </is>
      </c>
      <c r="B38" s="4" t="inlineStr">
        <is>
          <t>CV</t>
        </is>
      </c>
      <c r="C38" s="5" t="inlineStr">
        <is>
          <t>CV_BD_35.jpg</t>
        </is>
      </c>
      <c r="D38" s="4" t="inlineStr">
        <is>
          <t>Việt Nam</t>
        </is>
      </c>
      <c r="E38" s="5" t="inlineStr">
        <is>
          <t>Microsoft Office, Word, Excel, PowerPoint, Basic design tools, Canva, CapCut, Communication, Persuasion, Negotiation, Teamwork, Creativity, IELTS, JLPT</t>
        </is>
      </c>
      <c r="F38" s="5" t="inlineStr">
        <is>
          <t>Microsoft Office, Word, Excel, PowerPoint, Basic design tools, Canva, CapCut, Communication, Persuasion, Negotiation, Teamwork, Creativity, IELTS, JLPT</t>
        </is>
      </c>
      <c r="G38" s="4" t="n">
        <v>14</v>
      </c>
      <c r="H38" s="4" t="n">
        <v>0</v>
      </c>
      <c r="I38" s="4" t="n">
        <v>0</v>
      </c>
      <c r="J38" s="6">
        <f>IF((G38+H38)&gt;0, G38/(G38+H38), 0)</f>
        <v/>
      </c>
      <c r="K38" s="6">
        <f>IF((G38+I38)&gt;0, G38/(G38+I38), 0)</f>
        <v/>
      </c>
      <c r="L38" s="6">
        <f>IF((J38+K38)&gt;0, 2*(J38*K38)/(J38+K38), 0)</f>
        <v/>
      </c>
    </row>
    <row r="39" ht="24" customHeight="1">
      <c r="A39" s="4" t="inlineStr">
        <is>
          <t>CV_15</t>
        </is>
      </c>
      <c r="B39" s="4" t="inlineStr">
        <is>
          <t>CV</t>
        </is>
      </c>
      <c r="C39" s="5" t="inlineStr">
        <is>
          <t>CV_BE_22.jpg</t>
        </is>
      </c>
      <c r="D39" s="4" t="inlineStr">
        <is>
          <t>Việt Nam</t>
        </is>
      </c>
      <c r="E39" s="5" t="inlineStr">
        <is>
          <t>RESTful API, Node.js, Express.js, React.js, PostgreSQL, JavaScript, SQL, Java, C#, JWT Authentication, HTML, CSS, Authentication, Authorization, JWT, bcrypt, Render, Vercel, Neon, Git, GitHub, Postman, pgAdmin4, CI/CD Deployment, Spring Boot</t>
        </is>
      </c>
      <c r="F39" s="5" t="inlineStr">
        <is>
          <t>RESTful API, Node.js, Express.js, React.js, PostgreSQL, JavaScript, SQL, Java, C#, JWT Authentication, HTML, CSS, Authentication, Authorization, JWT, bcrypt, Render, Vercel, Neon, Git, GitHub, Postman, pgAdmin4, CI/CD Deployment</t>
        </is>
      </c>
      <c r="G39" s="4" t="n">
        <v>24</v>
      </c>
      <c r="H39" s="4" t="n">
        <v>1</v>
      </c>
      <c r="I39" s="4" t="n">
        <v>0</v>
      </c>
      <c r="J39" s="6">
        <f>IF((G39+H39)&gt;0, G39/(G39+H39), 0)</f>
        <v/>
      </c>
      <c r="K39" s="6">
        <f>IF((G39+I39)&gt;0, G39/(G39+I39), 0)</f>
        <v/>
      </c>
      <c r="L39" s="6">
        <f>IF((J39+K39)&gt;0, 2*(J39*K39)/(J39+K39), 0)</f>
        <v/>
      </c>
    </row>
    <row r="40" ht="24" customHeight="1">
      <c r="A40" s="4" t="inlineStr">
        <is>
          <t>CV_16</t>
        </is>
      </c>
      <c r="B40" s="4" t="inlineStr">
        <is>
          <t>CV</t>
        </is>
      </c>
      <c r="C40" s="5" t="inlineStr">
        <is>
          <t>CV_BE_24.png</t>
        </is>
      </c>
      <c r="D40" s="4" t="inlineStr">
        <is>
          <t>Việt Nam</t>
        </is>
      </c>
      <c r="E40" s="5" t="inlineStr">
        <is>
          <t>Node.js, Express.js, NestJS, REST APIs, Microservices, Docker, Kong API Gateway, Redis, MySQL, MongoDB, Socket.IO, Docker Compose, JavaScript, PostgreSQL, Git, Postman</t>
        </is>
      </c>
      <c r="F40" s="5" t="inlineStr">
        <is>
          <t>Node.js, Express.js, NestJS, REST APIs, Microservices, Docker, Kong API Gateway, Redis, MySQL, MongoDB, Socket.IO, Docker Compose, JavaScript, PostgreSQL, Git, Postman</t>
        </is>
      </c>
      <c r="G40" s="4" t="n">
        <v>16</v>
      </c>
      <c r="H40" s="4" t="n">
        <v>0</v>
      </c>
      <c r="I40" s="4" t="n">
        <v>0</v>
      </c>
      <c r="J40" s="6">
        <f>IF((G40+H40)&gt;0, G40/(G40+H40), 0)</f>
        <v/>
      </c>
      <c r="K40" s="6">
        <f>IF((G40+I40)&gt;0, G40/(G40+I40), 0)</f>
        <v/>
      </c>
      <c r="L40" s="6">
        <f>IF((J40+K40)&gt;0, 2*(J40*K40)/(J40+K40), 0)</f>
        <v/>
      </c>
    </row>
    <row r="41" ht="24" customHeight="1">
      <c r="A41" s="4" t="inlineStr">
        <is>
          <t>CV_17</t>
        </is>
      </c>
      <c r="B41" s="4" t="inlineStr">
        <is>
          <t>CV</t>
        </is>
      </c>
      <c r="C41" s="5" t="inlineStr">
        <is>
          <t>CV_BE_26.png</t>
        </is>
      </c>
      <c r="D41" s="4" t="inlineStr">
        <is>
          <t>Việt Nam</t>
        </is>
      </c>
      <c r="E41" s="5" t="inlineStr">
        <is>
          <t>Java, Spring Boot, Object-Oriented programming, software architecture, UML, BCE pattern, relational databases, MySQL, PostgreSQL, Jaoal’X, C88, JDBC, Supabase, Maven, MVC architecture, SOLID Principles, automated order allocation engine, intelligent suggestion algorithms, Fast Delivery optimization, concurrency control mechanism, Request Edit Lock, data race conditions, automated warehouse receiving, real-time inventory tracking, Javal’X, CSS, SQL Server, DAO pattern, role-based access control, audit trail, React, Typescript, Tailwind CSS, Python, Docker, real-time communication modules, instant messaging, video calling, offline event management, live multiplayer games, AL integrated tools, JAPANESE, JLPT.N3, ENGLISH, TOEIC 900, JavaScript, C/C++, MATLAB, RESTful APIs, Spring Security, JWT, JPA/Hibernate, React)S, HTML, Responsive UI, Microsoft SQL Server, SQL Optimization, JUnit, Jest, API Testing, Postman, Git, Github, Antigravity, IntelliJ IDEA, VS Code, Agile, Scrum, Codex, Claude Code</t>
        </is>
      </c>
      <c r="F41" s="5" t="inlineStr">
        <is>
          <t>Java, Spring Boot, Object-Oriented programming, software architecture, UML, BCE pattern, relational databases, MySQL, PostgreSQL, Jaoal’X, C88, JDBC, Supabase, Maven, MVC architecture, SOLID Principles, automated order allocation engine, intelligent suggestion algorithms, Fast Delivery optimization, concurrency control mechanism, Request Edit Lock, data race conditions, automated warehouse receiving, real-time inventory tracking, Javal’X, CSS, SQL Server, DAO pattern, role-based access control, audit trail, React, Typescript, Tailwind CSS, Python, Docker, real-time communication modules, instant messaging, video calling, offline event management, live multiplayer games, AL integrated tools, JAPANESE, JLPT.N3, ENGLISH, TOEIC 900, JavaScript, C/C++, MATLAB, RESTful APIs, Spring Security, JWT, JPA/Hibernate, React)S, HTML, Responsive UI, Microsoft SQL Server, SQL Optimization, JUnit, Jest, API Testing, Postman, Git, Github, Antigravity, IntelliJ IDEA, VS Code, Agile, Scrum, Codex, Claude Code</t>
        </is>
      </c>
      <c r="G41" s="4" t="n">
        <v>70</v>
      </c>
      <c r="H41" s="4" t="n">
        <v>0</v>
      </c>
      <c r="I41" s="4" t="n">
        <v>0</v>
      </c>
      <c r="J41" s="6">
        <f>IF((G41+H41)&gt;0, G41/(G41+H41), 0)</f>
        <v/>
      </c>
      <c r="K41" s="6">
        <f>IF((G41+I41)&gt;0, G41/(G41+I41), 0)</f>
        <v/>
      </c>
      <c r="L41" s="6">
        <f>IF((J41+K41)&gt;0, 2*(J41*K41)/(J41+K41), 0)</f>
        <v/>
      </c>
    </row>
    <row r="42" ht="24" customHeight="1">
      <c r="A42" s="4" t="inlineStr">
        <is>
          <t>CV_18</t>
        </is>
      </c>
      <c r="B42" s="4" t="inlineStr">
        <is>
          <t>CV</t>
        </is>
      </c>
      <c r="C42" s="5" t="inlineStr">
        <is>
          <t>CV_BE_39.jpg</t>
        </is>
      </c>
      <c r="D42" s="4" t="inlineStr">
        <is>
          <t>Việt Nam</t>
        </is>
      </c>
      <c r="E42" s="5" t="inlineStr">
        <is>
          <t>Backend Development, system architecture, .NET, ASP.NET Core, Node.js, C#, .NET 8, ASP.NET Core Web API, Entity Framework Core, SQL Server, Redis, Qdrant, SignalR, JWT, VNPay, Docker, React, TypeScript, TailwindCSS, Solidity, Express.js, MongoDB, Mongoose, Hardhat, MSSQL, Git, GitHub, Jira</t>
        </is>
      </c>
      <c r="F42" s="5" t="inlineStr">
        <is>
          <t>Backend Development, system architecture, .NET, ASP.NET Core, Node.js, C#, .NET 8, ASP.NET Core Web API, Entity Framework Core, SQL Server, Redis, Qdrant, SignalR, JWT, VNPay, Docker, React, TypeScript, TailwindCSS, Solidity, Express.js, MongoDB, Mongoose, Hardhat, MSSQL, Git, GitHub, Jira, Time Management</t>
        </is>
      </c>
      <c r="G42" s="4" t="n">
        <v>28</v>
      </c>
      <c r="H42" s="4" t="n">
        <v>0</v>
      </c>
      <c r="I42" s="4" t="n">
        <v>1</v>
      </c>
      <c r="J42" s="6">
        <f>IF((G42+H42)&gt;0, G42/(G42+H42), 0)</f>
        <v/>
      </c>
      <c r="K42" s="6">
        <f>IF((G42+I42)&gt;0, G42/(G42+I42), 0)</f>
        <v/>
      </c>
      <c r="L42" s="6">
        <f>IF((J42+K42)&gt;0, 2*(J42*K42)/(J42+K42), 0)</f>
        <v/>
      </c>
    </row>
    <row r="43" ht="24" customHeight="1">
      <c r="A43" s="4" t="inlineStr">
        <is>
          <t>CV_19</t>
        </is>
      </c>
      <c r="B43" s="4" t="inlineStr">
        <is>
          <t>CV</t>
        </is>
      </c>
      <c r="C43" s="5" t="inlineStr">
        <is>
          <t>CV_BE_Developer_5.png</t>
        </is>
      </c>
      <c r="D43" s="4" t="inlineStr">
        <is>
          <t>Việt Nam</t>
        </is>
      </c>
      <c r="E43" s="5" t="inlineStr">
        <is>
          <t>Java, Spring Boot, API Development, JWT, OAuth2, MapStruct, DTO mapping, Exception Handling, Database design, MySQL, JPA/Hibernate, Schema Management, RabbitMQ, Asynchronous Messaging, Brevo SMTP, VNPay, Online Payments, Role-Based Access Control, Method-Level Security, JWT Bearer Authentication, Spring Security, Filtering, Pagination, Sorting, 3-tier architecture, HR Module Development, Attendance Management, OOP Design Patterns, Singleton Pattern, Factory Pattern, Builder Pattern, Generic Interfaces, iTextPDF, Excel Import/Export, Clean Code, Separation of Concerns, Java 21, JavaFX, Hibernate, HikariCP, Maven, RESTful APIs, PostgreSQL, SQL Server, MongoDB, Redis, OOP, DI, SOLID principles, Git, GitLab, Postman, Swagger, IntelliJ IDEA, Clean Architecture, Microservices</t>
        </is>
      </c>
      <c r="F43" s="5" t="inlineStr">
        <is>
          <t>Java, Spring Boot, API Development, JWT, OAuth2, MapStruct, DTO mapping, Exception Handling, Database design, MySQL, JPA/Hibernate, Schema Management, RabbitMQ, Asynchronous Messaging, Brevo SMTP, VNPay, Online Payments, Role-Based Access Control, Method-Level Security, JWT Bearer Authentication, Spring Security, Filtering, Pagination, Sorting, 3-tier architecture, HR Module Development, Attendance Management, OOP Design Patterns, Singleton Pattern, Factory Pattern, Builder Pattern, Generic Interfaces, iTextPDF, Excel Import/Export, Clean Code, Separation of Concerns, Java 21, JavaFX, Hibernate, HikariCP, Maven, RESTful APIs, PostgreSQL, SQL Server, MongoDB, Redis, OOP, DI, SOLID principles, Git, GitLab, Postman, Swagger, IntelliJ IDEA, Clean Architecture, Microservices</t>
        </is>
      </c>
      <c r="G43" s="4" t="n">
        <v>56</v>
      </c>
      <c r="H43" s="4" t="n">
        <v>0</v>
      </c>
      <c r="I43" s="4" t="n">
        <v>0</v>
      </c>
      <c r="J43" s="6">
        <f>IF((G43+H43)&gt;0, G43/(G43+H43), 0)</f>
        <v/>
      </c>
      <c r="K43" s="6">
        <f>IF((G43+I43)&gt;0, G43/(G43+I43), 0)</f>
        <v/>
      </c>
      <c r="L43" s="6">
        <f>IF((J43+K43)&gt;0, 2*(J43*K43)/(J43+K43), 0)</f>
        <v/>
      </c>
    </row>
    <row r="44" ht="25" customHeight="1">
      <c r="A44" s="7" t="inlineStr">
        <is>
          <t>TỔNG CỘNG</t>
        </is>
      </c>
      <c r="B44" s="8" t="n"/>
      <c r="C44" s="8" t="n"/>
      <c r="D44" s="8" t="n"/>
      <c r="E44" s="8" t="n"/>
      <c r="F44" s="8" t="n"/>
      <c r="G44" s="7">
        <f>SUM(G5:G43)</f>
        <v/>
      </c>
      <c r="H44" s="7">
        <f>SUM(H5:H43)</f>
        <v/>
      </c>
      <c r="I44" s="7">
        <f>SUM(I5:I43)</f>
        <v/>
      </c>
      <c r="J44" s="8" t="n"/>
      <c r="K44" s="8" t="n"/>
      <c r="L44" s="8" t="n"/>
    </row>
    <row r="45"/>
    <row r="46">
      <c r="A46" s="2" t="inlineStr">
        <is>
          <t>CHỈ SỐ ĐỘ CHÍNH XÁC NER TRÊN TOÀN BỘ TẬP DỮ LIỆU:</t>
        </is>
      </c>
    </row>
    <row r="47" ht="22" customHeight="1">
      <c r="A47" s="9" t="inlineStr">
        <is>
          <t>Độ chính xác (Precision) chung</t>
        </is>
      </c>
      <c r="B47" s="10">
        <f>G44/(G44+H44)</f>
        <v/>
      </c>
      <c r="C47" s="11" t="inlineStr">
        <is>
          <t>Tỷ lệ kỹ năng trích xuất đúng trên tổng số kỹ năng hệ thống tìm thấy.</t>
        </is>
      </c>
    </row>
    <row r="48" ht="22" customHeight="1">
      <c r="A48" s="9" t="inlineStr">
        <is>
          <t>Độ phủ (Recall) chung</t>
        </is>
      </c>
      <c r="B48" s="10">
        <f>G44/(G44+I44)</f>
        <v/>
      </c>
      <c r="C48" s="11" t="inlineStr">
        <is>
          <t>Tỷ lệ kỹ năng hệ thống phát hiện được trên tổng số kỹ năng thực tế.</t>
        </is>
      </c>
    </row>
    <row r="49" ht="22" customHeight="1">
      <c r="A49" s="9" t="inlineStr">
        <is>
          <t>Điểm F1-Score chung</t>
        </is>
      </c>
      <c r="B49" s="10">
        <f>2*(B47*B48)/(B47+B48)</f>
        <v/>
      </c>
      <c r="C49" s="11" t="inlineStr">
        <is>
          <t>Độ đo cân bằng F1-Score tổng hòa.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2026-07-12T11:27:51Z</dcterms:created>
  <dcterms:modified xmlns:dcterms="http://purl.org/dc/terms/" xmlns:xsi="http://www.w3.org/2001/XMLSchema-instance" xsi:type="dcterms:W3CDTF">2026-07-12T11:27:51Z</dcterms:modified>
</cp:coreProperties>
</file>